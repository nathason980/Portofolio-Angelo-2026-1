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OneDrive\Dokumen\Jokian deadline 23 MEi\"/>
    </mc:Choice>
  </mc:AlternateContent>
  <xr:revisionPtr revIDLastSave="0" documentId="13_ncr:1_{B4A18CB8-9B07-4875-A6D0-02B974DA11C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Rekap Kuesionerr" sheetId="7" r:id="rId1"/>
    <sheet name="koefiesien Korelasi" sheetId="15" r:id="rId2"/>
    <sheet name="Anlisis Deskriptif" sheetId="14" r:id="rId3"/>
    <sheet name="Karakteristik Responden" sheetId="10" r:id="rId4"/>
    <sheet name="X1" sheetId="3" r:id="rId5"/>
    <sheet name="X2" sheetId="4" r:id="rId6"/>
    <sheet name="Y" sheetId="5" r:id="rId7"/>
    <sheet name="Uji Validitas" sheetId="11" r:id="rId8"/>
    <sheet name="Uji Reabilitas" sheetId="8" r:id="rId9"/>
    <sheet name="Koefisien Determinasi" sheetId="12" r:id="rId10"/>
    <sheet name="UJI Normalitas" sheetId="9" r:id="rId11"/>
  </sheets>
  <calcPr calcId="191029"/>
</workbook>
</file>

<file path=xl/calcChain.xml><?xml version="1.0" encoding="utf-8"?>
<calcChain xmlns="http://schemas.openxmlformats.org/spreadsheetml/2006/main">
  <c r="G29" i="5" l="1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28" i="5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39" i="4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3" i="3"/>
</calcChain>
</file>

<file path=xl/sharedStrings.xml><?xml version="1.0" encoding="utf-8"?>
<sst xmlns="http://schemas.openxmlformats.org/spreadsheetml/2006/main" count="1224" uniqueCount="495">
  <si>
    <t>X1.1</t>
  </si>
  <si>
    <t>X1.2</t>
  </si>
  <si>
    <t>X1.3</t>
  </si>
  <si>
    <t>X1.4</t>
  </si>
  <si>
    <t>X1.5</t>
  </si>
  <si>
    <t>X1.6</t>
  </si>
  <si>
    <t>X1.7</t>
  </si>
  <si>
    <t>X1.8</t>
  </si>
  <si>
    <t>X1.9</t>
  </si>
  <si>
    <t>X1.10</t>
  </si>
  <si>
    <t>X1.11</t>
  </si>
  <si>
    <t>X1.12</t>
  </si>
  <si>
    <t>X2.1</t>
  </si>
  <si>
    <t>X2.2</t>
  </si>
  <si>
    <t>X2.3</t>
  </si>
  <si>
    <t>X2.4</t>
  </si>
  <si>
    <t>X2.5</t>
  </si>
  <si>
    <t>X2.6</t>
  </si>
  <si>
    <t>X2.7</t>
  </si>
  <si>
    <t>X2.8</t>
  </si>
  <si>
    <t>X2.9</t>
  </si>
  <si>
    <t>Y.1</t>
  </si>
  <si>
    <t>Y.2</t>
  </si>
  <si>
    <t>Y.3</t>
  </si>
  <si>
    <t>Y.4</t>
  </si>
  <si>
    <t>Y.5</t>
  </si>
  <si>
    <t>Y.6</t>
  </si>
  <si>
    <t/>
  </si>
  <si>
    <t>Correlations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</si>
  <si>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</si>
  <si>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</si>
  <si>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</si>
  <si>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</si>
  <si>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</si>
  <si>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</si>
  <si>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</si>
  <si>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</si>
  <si>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</si>
  <si>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</si>
  <si>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</si>
  <si>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</si>
  <si>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TOTAL</t>
  </si>
  <si>
    <t>Pearson Correlation</t>
  </si>
  <si>
    <t>Sig. (2-tailed)</t>
  </si>
  <si>
    <t>N</t>
  </si>
  <si>
    <t>**. Correlation is significant at the 0.01 level (2-tailed).</t>
  </si>
  <si>
    <t>*. Correlation is significant at the 0.05 level (2-tailed).</t>
  </si>
  <si>
    <t>Item Pernyataan</t>
  </si>
  <si>
    <t>Keterangan</t>
  </si>
  <si>
    <t>Valid</t>
  </si>
  <si>
    <t>Pearson
Correlation (R Hitung)</t>
  </si>
  <si>
    <t>R
Tabel</t>
  </si>
  <si>
    <t>Nilai Signifikansi (sig.2 tailed)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</si>
  <si>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</si>
  <si>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</si>
  <si>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</si>
  <si>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</si>
  <si>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</si>
  <si>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</si>
  <si>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</si>
  <si>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</si>
  <si>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</si>
  <si>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.750</t>
  </si>
  <si>
    <t>.673</t>
  </si>
  <si>
    <t>X2.01</t>
  </si>
  <si>
    <t>X2.02</t>
  </si>
  <si>
    <t>X2.03</t>
  </si>
  <si>
    <t>X2.04</t>
  </si>
  <si>
    <t>X2.05</t>
  </si>
  <si>
    <t>X2.06</t>
  </si>
  <si>
    <t>X2.07</t>
  </si>
  <si>
    <t>X2.08</t>
  </si>
  <si>
    <t>X2.09</t>
  </si>
  <si>
    <r>
      <t>.513</t>
    </r>
    <r>
      <rPr>
        <vertAlign val="superscript"/>
        <sz val="9"/>
        <color indexed="60"/>
        <rFont val="Arial"/>
        <family val="2"/>
      </rPr>
      <t>**</t>
    </r>
  </si>
  <si>
    <r>
      <t>.486</t>
    </r>
    <r>
      <rPr>
        <vertAlign val="superscript"/>
        <sz val="9"/>
        <color indexed="60"/>
        <rFont val="Arial"/>
        <family val="2"/>
      </rPr>
      <t>**</t>
    </r>
  </si>
  <si>
    <r>
      <t>.523</t>
    </r>
    <r>
      <rPr>
        <vertAlign val="superscript"/>
        <sz val="9"/>
        <color indexed="60"/>
        <rFont val="Arial"/>
        <family val="2"/>
      </rPr>
      <t>**</t>
    </r>
  </si>
  <si>
    <r>
      <t>.497</t>
    </r>
    <r>
      <rPr>
        <vertAlign val="superscript"/>
        <sz val="9"/>
        <color indexed="60"/>
        <rFont val="Arial"/>
        <family val="2"/>
      </rPr>
      <t>**</t>
    </r>
  </si>
  <si>
    <r>
      <t>.462</t>
    </r>
    <r>
      <rPr>
        <vertAlign val="superscript"/>
        <sz val="9"/>
        <color indexed="60"/>
        <rFont val="Arial"/>
        <family val="2"/>
      </rPr>
      <t>**</t>
    </r>
  </si>
  <si>
    <r>
      <t>.473</t>
    </r>
    <r>
      <rPr>
        <vertAlign val="superscript"/>
        <sz val="9"/>
        <color indexed="60"/>
        <rFont val="Arial"/>
        <family val="2"/>
      </rPr>
      <t>**</t>
    </r>
  </si>
  <si>
    <r>
      <t>.550</t>
    </r>
    <r>
      <rPr>
        <vertAlign val="superscript"/>
        <sz val="9"/>
        <color indexed="60"/>
        <rFont val="Arial"/>
        <family val="2"/>
      </rPr>
      <t>**</t>
    </r>
  </si>
  <si>
    <r>
      <t>.759</t>
    </r>
    <r>
      <rPr>
        <vertAlign val="superscript"/>
        <sz val="9"/>
        <color indexed="60"/>
        <rFont val="Arial"/>
        <family val="2"/>
      </rPr>
      <t>**</t>
    </r>
  </si>
  <si>
    <r>
      <t>.446</t>
    </r>
    <r>
      <rPr>
        <vertAlign val="superscript"/>
        <sz val="9"/>
        <color indexed="60"/>
        <rFont val="Arial"/>
        <family val="2"/>
      </rPr>
      <t>**</t>
    </r>
  </si>
  <si>
    <r>
      <t>.371</t>
    </r>
    <r>
      <rPr>
        <vertAlign val="superscript"/>
        <sz val="9"/>
        <color indexed="60"/>
        <rFont val="Arial"/>
        <family val="2"/>
      </rPr>
      <t>**</t>
    </r>
  </si>
  <si>
    <r>
      <t>.504</t>
    </r>
    <r>
      <rPr>
        <vertAlign val="superscript"/>
        <sz val="9"/>
        <color indexed="60"/>
        <rFont val="Arial"/>
        <family val="2"/>
      </rPr>
      <t>**</t>
    </r>
  </si>
  <si>
    <r>
      <t>.381</t>
    </r>
    <r>
      <rPr>
        <vertAlign val="superscript"/>
        <sz val="9"/>
        <color indexed="60"/>
        <rFont val="Arial"/>
        <family val="2"/>
      </rPr>
      <t>**</t>
    </r>
  </si>
  <si>
    <r>
      <t>.542</t>
    </r>
    <r>
      <rPr>
        <vertAlign val="superscript"/>
        <sz val="9"/>
        <color indexed="60"/>
        <rFont val="Arial"/>
        <family val="2"/>
      </rPr>
      <t>**</t>
    </r>
  </si>
  <si>
    <r>
      <t>.577</t>
    </r>
    <r>
      <rPr>
        <vertAlign val="superscript"/>
        <sz val="9"/>
        <color indexed="60"/>
        <rFont val="Arial"/>
        <family val="2"/>
      </rPr>
      <t>**</t>
    </r>
  </si>
  <si>
    <r>
      <t>.544</t>
    </r>
    <r>
      <rPr>
        <vertAlign val="superscript"/>
        <sz val="9"/>
        <color indexed="60"/>
        <rFont val="Arial"/>
        <family val="2"/>
      </rPr>
      <t>**</t>
    </r>
  </si>
  <si>
    <r>
      <t>.750</t>
    </r>
    <r>
      <rPr>
        <vertAlign val="superscript"/>
        <sz val="9"/>
        <color indexed="60"/>
        <rFont val="Arial"/>
        <family val="2"/>
      </rPr>
      <t>**</t>
    </r>
  </si>
  <si>
    <r>
      <t>.380</t>
    </r>
    <r>
      <rPr>
        <vertAlign val="superscript"/>
        <sz val="9"/>
        <color indexed="60"/>
        <rFont val="Arial"/>
        <family val="2"/>
      </rPr>
      <t>**</t>
    </r>
  </si>
  <si>
    <r>
      <t>.350</t>
    </r>
    <r>
      <rPr>
        <vertAlign val="superscript"/>
        <sz val="9"/>
        <color indexed="60"/>
        <rFont val="Arial"/>
        <family val="2"/>
      </rPr>
      <t>*</t>
    </r>
  </si>
  <si>
    <r>
      <t>.332</t>
    </r>
    <r>
      <rPr>
        <vertAlign val="superscript"/>
        <sz val="9"/>
        <color indexed="60"/>
        <rFont val="Arial"/>
        <family val="2"/>
      </rPr>
      <t>*</t>
    </r>
  </si>
  <si>
    <r>
      <t>.416</t>
    </r>
    <r>
      <rPr>
        <vertAlign val="superscript"/>
        <sz val="9"/>
        <color indexed="60"/>
        <rFont val="Arial"/>
        <family val="2"/>
      </rPr>
      <t>**</t>
    </r>
  </si>
  <si>
    <r>
      <t>.352</t>
    </r>
    <r>
      <rPr>
        <vertAlign val="superscript"/>
        <sz val="9"/>
        <color indexed="60"/>
        <rFont val="Arial"/>
        <family val="2"/>
      </rPr>
      <t>*</t>
    </r>
  </si>
  <si>
    <r>
      <t>.466</t>
    </r>
    <r>
      <rPr>
        <vertAlign val="superscript"/>
        <sz val="9"/>
        <color indexed="60"/>
        <rFont val="Arial"/>
        <family val="2"/>
      </rPr>
      <t>**</t>
    </r>
  </si>
  <si>
    <r>
      <t>.636</t>
    </r>
    <r>
      <rPr>
        <vertAlign val="superscript"/>
        <sz val="9"/>
        <color indexed="60"/>
        <rFont val="Arial"/>
        <family val="2"/>
      </rPr>
      <t>**</t>
    </r>
  </si>
  <si>
    <r>
      <t>.517</t>
    </r>
    <r>
      <rPr>
        <vertAlign val="superscript"/>
        <sz val="9"/>
        <color indexed="60"/>
        <rFont val="Arial"/>
        <family val="2"/>
      </rPr>
      <t>**</t>
    </r>
  </si>
  <si>
    <r>
      <t>.404</t>
    </r>
    <r>
      <rPr>
        <vertAlign val="superscript"/>
        <sz val="9"/>
        <color indexed="60"/>
        <rFont val="Arial"/>
        <family val="2"/>
      </rPr>
      <t>**</t>
    </r>
  </si>
  <si>
    <r>
      <t>.365</t>
    </r>
    <r>
      <rPr>
        <vertAlign val="superscript"/>
        <sz val="9"/>
        <color indexed="60"/>
        <rFont val="Arial"/>
        <family val="2"/>
      </rPr>
      <t>**</t>
    </r>
  </si>
  <si>
    <r>
      <t>.556</t>
    </r>
    <r>
      <rPr>
        <vertAlign val="superscript"/>
        <sz val="9"/>
        <color indexed="60"/>
        <rFont val="Arial"/>
        <family val="2"/>
      </rPr>
      <t>**</t>
    </r>
  </si>
  <si>
    <r>
      <t>.522</t>
    </r>
    <r>
      <rPr>
        <vertAlign val="superscript"/>
        <sz val="9"/>
        <color indexed="60"/>
        <rFont val="Arial"/>
        <family val="2"/>
      </rPr>
      <t>**</t>
    </r>
  </si>
  <si>
    <r>
      <t>.714</t>
    </r>
    <r>
      <rPr>
        <vertAlign val="superscript"/>
        <sz val="9"/>
        <color indexed="60"/>
        <rFont val="Arial"/>
        <family val="2"/>
      </rPr>
      <t>**</t>
    </r>
  </si>
  <si>
    <r>
      <t>.421</t>
    </r>
    <r>
      <rPr>
        <vertAlign val="superscript"/>
        <sz val="9"/>
        <color indexed="60"/>
        <rFont val="Arial"/>
        <family val="2"/>
      </rPr>
      <t>**</t>
    </r>
  </si>
  <si>
    <r>
      <t>.451</t>
    </r>
    <r>
      <rPr>
        <vertAlign val="superscript"/>
        <sz val="9"/>
        <color indexed="60"/>
        <rFont val="Arial"/>
        <family val="2"/>
      </rPr>
      <t>**</t>
    </r>
  </si>
  <si>
    <r>
      <t>.565</t>
    </r>
    <r>
      <rPr>
        <vertAlign val="superscript"/>
        <sz val="9"/>
        <color indexed="60"/>
        <rFont val="Arial"/>
        <family val="2"/>
      </rPr>
      <t>**</t>
    </r>
  </si>
  <si>
    <r>
      <t>.745</t>
    </r>
    <r>
      <rPr>
        <vertAlign val="superscript"/>
        <sz val="9"/>
        <color indexed="60"/>
        <rFont val="Arial"/>
        <family val="2"/>
      </rPr>
      <t>**</t>
    </r>
  </si>
  <si>
    <r>
      <t>.545</t>
    </r>
    <r>
      <rPr>
        <vertAlign val="superscript"/>
        <sz val="9"/>
        <color indexed="60"/>
        <rFont val="Arial"/>
        <family val="2"/>
      </rPr>
      <t>**</t>
    </r>
  </si>
  <si>
    <r>
      <t>.333</t>
    </r>
    <r>
      <rPr>
        <vertAlign val="superscript"/>
        <sz val="9"/>
        <color indexed="60"/>
        <rFont val="Arial"/>
        <family val="2"/>
      </rPr>
      <t>*</t>
    </r>
  </si>
  <si>
    <r>
      <t>.566</t>
    </r>
    <r>
      <rPr>
        <vertAlign val="superscript"/>
        <sz val="9"/>
        <color indexed="60"/>
        <rFont val="Arial"/>
        <family val="2"/>
      </rPr>
      <t>**</t>
    </r>
  </si>
  <si>
    <r>
      <t>.672</t>
    </r>
    <r>
      <rPr>
        <vertAlign val="superscript"/>
        <sz val="9"/>
        <color indexed="60"/>
        <rFont val="Arial"/>
        <family val="2"/>
      </rPr>
      <t>**</t>
    </r>
  </si>
  <si>
    <r>
      <t>.394</t>
    </r>
    <r>
      <rPr>
        <vertAlign val="superscript"/>
        <sz val="9"/>
        <color indexed="60"/>
        <rFont val="Arial"/>
        <family val="2"/>
      </rPr>
      <t>**</t>
    </r>
  </si>
  <si>
    <r>
      <t>.378</t>
    </r>
    <r>
      <rPr>
        <vertAlign val="superscript"/>
        <sz val="9"/>
        <color indexed="60"/>
        <rFont val="Arial"/>
        <family val="2"/>
      </rPr>
      <t>**</t>
    </r>
  </si>
  <si>
    <r>
      <t>.698</t>
    </r>
    <r>
      <rPr>
        <vertAlign val="superscript"/>
        <sz val="9"/>
        <color indexed="60"/>
        <rFont val="Arial"/>
        <family val="2"/>
      </rPr>
      <t>**</t>
    </r>
  </si>
  <si>
    <r>
      <t>.592</t>
    </r>
    <r>
      <rPr>
        <vertAlign val="superscript"/>
        <sz val="9"/>
        <color indexed="60"/>
        <rFont val="Arial"/>
        <family val="2"/>
      </rPr>
      <t>**</t>
    </r>
  </si>
  <si>
    <r>
      <t>.740</t>
    </r>
    <r>
      <rPr>
        <vertAlign val="superscript"/>
        <sz val="9"/>
        <color indexed="60"/>
        <rFont val="Arial"/>
        <family val="2"/>
      </rPr>
      <t>**</t>
    </r>
  </si>
  <si>
    <r>
      <t>.808</t>
    </r>
    <r>
      <rPr>
        <vertAlign val="superscript"/>
        <sz val="9"/>
        <color indexed="60"/>
        <rFont val="Arial"/>
        <family val="2"/>
      </rPr>
      <t>**</t>
    </r>
  </si>
  <si>
    <t>Hasil Uji Validitas Beban Kerja (X1)</t>
  </si>
  <si>
    <t>Hasil Uji Validitas Stres Kerja (X2)</t>
  </si>
  <si>
    <t>Saya memerlukan konsentrasi tinggi dalam pekerjaan saya</t>
  </si>
  <si>
    <t>Saya perlu memahami berbagai informasi dalam melaksanakan pekerjaan saya.</t>
  </si>
  <si>
    <t>Saya mengambil keputusan, melakukan perhitungan, dan menggunakan daya ingat dalam pekerjaan saya.</t>
  </si>
  <si>
    <t>Saya bekerja menggunakan tenaga fisik dalam pelaksanaannya.</t>
  </si>
  <si>
    <t>Saya melakukan aktivitas fisik dalam waktu yang cukup lama saat bekerja.</t>
  </si>
  <si>
    <t>Saya bekerja dengan posisi tubuh tertentu dalam menyelesaikan pekerjaan saya.</t>
  </si>
  <si>
    <t>Saya bekerja dengan waktu penyelesaian yang telah ditentukan</t>
  </si>
  <si>
    <t>Saya selalu menyelesaikan pekerjaan sesuai batas waktu yang telah ditetapkan</t>
  </si>
  <si>
    <t>Saya bekerja dengan kecepatan yang sesuai dengan tuntutan pekerjaan.</t>
  </si>
  <si>
    <t>Saya menggunakan pikiran saya dengan sungguh-sungguh untuk menyelesaikan pekerjaan.</t>
  </si>
  <si>
    <t>Saya menggunakan tenaga fisik untuk menyelesaikan pekerjaan saya.</t>
  </si>
  <si>
    <t>Saya bersungguh-sungguh untuk mencapai target kerja yang telah ditetapkan.</t>
  </si>
  <si>
    <t>Saya mencapai target kerja yang telah ditetapkan.</t>
  </si>
  <si>
    <t>Saya menghasilkan pekerjaan dengan kualitas yang baik.</t>
  </si>
  <si>
    <t>Saya menyelesaikan tugas sesuai dengan standar kerja yang ditetapkan.</t>
  </si>
  <si>
    <t>Saya merasakan kondisi fisik saya lebih terbebani jika tuntutan pekerjaan meningkat.</t>
  </si>
  <si>
    <t>Saya mengalami keluhan fisik, seperti sakit kepala atau pusing, akibat tekanan pekerjaan.</t>
  </si>
  <si>
    <t>Saya merasakan kelelahan fisik karena banyaknya tugas pekerjaan.</t>
  </si>
  <si>
    <t>Saya merasakan tekanan ketika pekerjaan saya belum selesai.</t>
  </si>
  <si>
    <t>Saya merasakan kecemasan ketika beban kerja meningkat.</t>
  </si>
  <si>
    <t>Saya merasa gelisah ketika pekerjaan membuat kesempatan saya mengembangkan diri terbatas.</t>
  </si>
  <si>
    <t>Saya mengalami kesulitan berkonsentrasi saat bekerja ketika tekanan pekerjaan meningkat.</t>
  </si>
  <si>
    <t>Saya mengalami gangguan pola tidur akibat pekerjaan. </t>
  </si>
  <si>
    <t>Saya menunda penyelesaian pekerjaan saat tekanan pekerjaan meningkat.</t>
  </si>
  <si>
    <t>Saya sesekali menggunakan email atau internet untuk keperluan pribadi saat jam kerja.</t>
  </si>
  <si>
    <r>
      <t>Saya sesekali mengakses situs non-pekerjaan, seperti belanja </t>
    </r>
    <r>
      <rPr>
        <i/>
        <sz val="10"/>
        <color rgb="FF1F1F1F"/>
        <rFont val="Arial"/>
        <family val="2"/>
      </rPr>
      <t>online</t>
    </r>
    <r>
      <rPr>
        <sz val="10"/>
        <color rgb="FF1F1F1F"/>
        <rFont val="Arial"/>
        <family val="2"/>
      </rPr>
      <t>, berita, olahraga atau hiburan saat jam kerja.</t>
    </r>
  </si>
  <si>
    <t>Saya sesekali menggunakan internet untuk mengelola kepentingan pribadi saat jam kerja.</t>
  </si>
  <si>
    <t>Saya sesekali mengakses situs yang tidak sesuai dengan aturan penggunaan internet di tempat kerja saat jam kerja.</t>
  </si>
  <si>
    <t>Saya sesekali menggunakan internet kantor untuk mengelola aktivitas pribadi pada waktu tertentu sampai mengurangi fokus pada pekerjaan.</t>
  </si>
  <si>
    <t>Saya sesekali menggunakan internet untuk mengunduh konten di luar keperluan pekerjaan saat jam kerja</t>
  </si>
  <si>
    <t>Resp</t>
  </si>
  <si>
    <t>X1.13</t>
  </si>
  <si>
    <t>X1.14</t>
  </si>
  <si>
    <t>X1.15</t>
  </si>
  <si>
    <t>Total</t>
  </si>
  <si>
    <t>X13</t>
  </si>
  <si>
    <t>X14</t>
  </si>
  <si>
    <t>X15</t>
  </si>
  <si>
    <r>
      <t>.304</t>
    </r>
    <r>
      <rPr>
        <vertAlign val="superscript"/>
        <sz val="9"/>
        <color indexed="60"/>
        <rFont val="Arial"/>
        <family val="2"/>
      </rPr>
      <t>*</t>
    </r>
  </si>
  <si>
    <t>.761</t>
  </si>
  <si>
    <t>.784</t>
  </si>
  <si>
    <t>.704</t>
  </si>
  <si>
    <t>.724</t>
  </si>
  <si>
    <t>.742</t>
  </si>
  <si>
    <t>.656</t>
  </si>
  <si>
    <t>.668</t>
  </si>
  <si>
    <t>.743</t>
  </si>
  <si>
    <t>.748</t>
  </si>
  <si>
    <t>.765</t>
  </si>
  <si>
    <t>.701</t>
  </si>
  <si>
    <t>.759</t>
  </si>
  <si>
    <t>.636</t>
  </si>
  <si>
    <t>.714</t>
  </si>
  <si>
    <t>.745</t>
  </si>
  <si>
    <t>.672</t>
  </si>
  <si>
    <t>.698</t>
  </si>
  <si>
    <t>.740</t>
  </si>
  <si>
    <t>.808</t>
  </si>
  <si>
    <t>Y01</t>
  </si>
  <si>
    <t>Y02</t>
  </si>
  <si>
    <t>Y03</t>
  </si>
  <si>
    <t>Y04</t>
  </si>
  <si>
    <t>Y05</t>
  </si>
  <si>
    <t>Y06</t>
  </si>
  <si>
    <r>
      <t>.307</t>
    </r>
    <r>
      <rPr>
        <vertAlign val="superscript"/>
        <sz val="9"/>
        <color indexed="60"/>
        <rFont val="Arial"/>
        <family val="2"/>
      </rPr>
      <t>*</t>
    </r>
  </si>
  <si>
    <r>
      <t>.299</t>
    </r>
    <r>
      <rPr>
        <vertAlign val="superscript"/>
        <sz val="9"/>
        <color indexed="60"/>
        <rFont val="Arial"/>
        <family val="2"/>
      </rPr>
      <t>*</t>
    </r>
  </si>
  <si>
    <r>
      <t>.572</t>
    </r>
    <r>
      <rPr>
        <vertAlign val="superscript"/>
        <sz val="9"/>
        <color indexed="60"/>
        <rFont val="Arial"/>
        <family val="2"/>
      </rPr>
      <t>**</t>
    </r>
  </si>
  <si>
    <r>
      <t>.351</t>
    </r>
    <r>
      <rPr>
        <vertAlign val="superscript"/>
        <sz val="9"/>
        <color indexed="60"/>
        <rFont val="Arial"/>
        <family val="2"/>
      </rPr>
      <t>*</t>
    </r>
  </si>
  <si>
    <r>
      <t>.366</t>
    </r>
    <r>
      <rPr>
        <vertAlign val="superscript"/>
        <sz val="9"/>
        <color indexed="60"/>
        <rFont val="Arial"/>
        <family val="2"/>
      </rPr>
      <t>**</t>
    </r>
  </si>
  <si>
    <r>
      <t>.417</t>
    </r>
    <r>
      <rPr>
        <vertAlign val="superscript"/>
        <sz val="9"/>
        <color indexed="60"/>
        <rFont val="Arial"/>
        <family val="2"/>
      </rPr>
      <t>**</t>
    </r>
  </si>
  <si>
    <r>
      <t>.594</t>
    </r>
    <r>
      <rPr>
        <vertAlign val="superscript"/>
        <sz val="9"/>
        <color indexed="60"/>
        <rFont val="Arial"/>
        <family val="2"/>
      </rPr>
      <t>**</t>
    </r>
  </si>
  <si>
    <r>
      <t>.303</t>
    </r>
    <r>
      <rPr>
        <vertAlign val="superscript"/>
        <sz val="9"/>
        <color indexed="60"/>
        <rFont val="Arial"/>
        <family val="2"/>
      </rPr>
      <t>*</t>
    </r>
  </si>
  <si>
    <r>
      <t>.405</t>
    </r>
    <r>
      <rPr>
        <vertAlign val="superscript"/>
        <sz val="9"/>
        <color indexed="60"/>
        <rFont val="Arial"/>
        <family val="2"/>
      </rPr>
      <t>**</t>
    </r>
  </si>
  <si>
    <r>
      <t>.697</t>
    </r>
    <r>
      <rPr>
        <vertAlign val="superscript"/>
        <sz val="9"/>
        <color indexed="60"/>
        <rFont val="Arial"/>
        <family val="2"/>
      </rPr>
      <t>**</t>
    </r>
  </si>
  <si>
    <r>
      <t>.308</t>
    </r>
    <r>
      <rPr>
        <vertAlign val="superscript"/>
        <sz val="9"/>
        <color indexed="60"/>
        <rFont val="Arial"/>
        <family val="2"/>
      </rPr>
      <t>*</t>
    </r>
  </si>
  <si>
    <r>
      <t>.659</t>
    </r>
    <r>
      <rPr>
        <vertAlign val="superscript"/>
        <sz val="9"/>
        <color indexed="60"/>
        <rFont val="Arial"/>
        <family val="2"/>
      </rPr>
      <t>**</t>
    </r>
  </si>
  <si>
    <r>
      <t>.713</t>
    </r>
    <r>
      <rPr>
        <vertAlign val="superscript"/>
        <sz val="9"/>
        <color indexed="60"/>
        <rFont val="Arial"/>
        <family val="2"/>
      </rPr>
      <t>**</t>
    </r>
  </si>
  <si>
    <t>Y1</t>
  </si>
  <si>
    <t>Y2</t>
  </si>
  <si>
    <t>Y3</t>
  </si>
  <si>
    <t>Y4</t>
  </si>
  <si>
    <t>Y5</t>
  </si>
  <si>
    <t>Y6</t>
  </si>
  <si>
    <t>.572</t>
  </si>
  <si>
    <t>.594</t>
  </si>
  <si>
    <t>.697</t>
  </si>
  <si>
    <t>.659</t>
  </si>
  <si>
    <t>.713</t>
  </si>
  <si>
    <t>Case Processing Summary</t>
  </si>
  <si>
    <t>%</t>
  </si>
  <si>
    <t>Cases</t>
  </si>
  <si>
    <t>a. Listwise deletion based on all variables in the procedure.</t>
  </si>
  <si>
    <r>
      <t>Excluded</t>
    </r>
    <r>
      <rPr>
        <vertAlign val="superscript"/>
        <sz val="9"/>
        <color indexed="62"/>
        <rFont val="Arial"/>
        <family val="2"/>
      </rPr>
      <t>a</t>
    </r>
  </si>
  <si>
    <t>Reliability Statistics</t>
  </si>
  <si>
    <t>Cronbach's Alpha</t>
  </si>
  <si>
    <t>N of Items</t>
  </si>
  <si>
    <t>Variabel</t>
  </si>
  <si>
    <t>Tingkat Reabilitas</t>
  </si>
  <si>
    <r>
      <t xml:space="preserve">Beban Kerja </t>
    </r>
    <r>
      <rPr>
        <b/>
        <sz val="12"/>
        <color theme="1"/>
        <rFont val="Times New Roman"/>
        <family val="1"/>
      </rPr>
      <t>(X1)</t>
    </r>
  </si>
  <si>
    <r>
      <t xml:space="preserve">Stres Kerja </t>
    </r>
    <r>
      <rPr>
        <b/>
        <sz val="12"/>
        <color theme="1"/>
        <rFont val="Times New Roman"/>
        <family val="1"/>
      </rPr>
      <t>(X2)</t>
    </r>
  </si>
  <si>
    <r>
      <t xml:space="preserve">Cyberloaf </t>
    </r>
    <r>
      <rPr>
        <b/>
        <sz val="12"/>
        <color theme="1"/>
        <rFont val="Times New Roman"/>
        <family val="1"/>
      </rPr>
      <t>(Y)</t>
    </r>
  </si>
  <si>
    <t>Reliabel</t>
  </si>
  <si>
    <r>
      <t xml:space="preserve">R </t>
    </r>
    <r>
      <rPr>
        <b/>
        <i/>
        <sz val="12"/>
        <color theme="1"/>
        <rFont val="Times New Roman"/>
        <family val="1"/>
      </rPr>
      <t>alpha Cronbach</t>
    </r>
  </si>
  <si>
    <t>Hasil Uji Validitas Cyberloafing</t>
  </si>
  <si>
    <t>One-Sample Kolmogorov-Smirnov Test</t>
  </si>
  <si>
    <t>Mean</t>
  </si>
  <si>
    <t>Std. Deviation</t>
  </si>
  <si>
    <t>Most Extreme Differences</t>
  </si>
  <si>
    <t>Absolute</t>
  </si>
  <si>
    <t>Positive</t>
  </si>
  <si>
    <t>Negative</t>
  </si>
  <si>
    <t>Test Statistic</t>
  </si>
  <si>
    <t>Asymp. Sig. (2-tailed)</t>
  </si>
  <si>
    <t>a. Test distribution is Normal.</t>
  </si>
  <si>
    <t>b. Calculated from data.</t>
  </si>
  <si>
    <t>c. Lilliefors Significance Correction.</t>
  </si>
  <si>
    <t>d. This is a lower bound of the true significance.</t>
  </si>
  <si>
    <t>No</t>
  </si>
  <si>
    <t>Frekuensi</t>
  </si>
  <si>
    <t>Persentase</t>
  </si>
  <si>
    <t>Laki-laki</t>
  </si>
  <si>
    <t>Perempuan</t>
  </si>
  <si>
    <t>Usia</t>
  </si>
  <si>
    <t>18–29 Tahun</t>
  </si>
  <si>
    <t>30–39 Tahun</t>
  </si>
  <si>
    <t>40–49 Tahun</t>
  </si>
  <si>
    <t>&gt;50 Tahun</t>
  </si>
  <si>
    <t>Masa Kerja</t>
  </si>
  <si>
    <t>&lt;1 Tahun</t>
  </si>
  <si>
    <t>1–3 Tahun</t>
  </si>
  <si>
    <t>&gt;3 Tahun</t>
  </si>
  <si>
    <t>Pendidikan Terakhir</t>
  </si>
  <si>
    <t>SMP Sederajat</t>
  </si>
  <si>
    <t>SMA/SMK Sederajat</t>
  </si>
  <si>
    <t>Sarjana S1/Diploma</t>
  </si>
  <si>
    <t>S2/S3</t>
  </si>
  <si>
    <t>Divisi</t>
  </si>
  <si>
    <t>Multimedia</t>
  </si>
  <si>
    <t>Keuangan</t>
  </si>
  <si>
    <t>Gudang</t>
  </si>
  <si>
    <t>Live Streaming</t>
  </si>
  <si>
    <t>Ads</t>
  </si>
  <si>
    <t>HR</t>
  </si>
  <si>
    <t>Yang Lain</t>
  </si>
  <si>
    <t>Jabatan</t>
  </si>
  <si>
    <t>Manajer</t>
  </si>
  <si>
    <t>Supervisor</t>
  </si>
  <si>
    <t>Staff</t>
  </si>
  <si>
    <t>Jenis Kelamin</t>
  </si>
  <si>
    <t xml:space="preserve"> </t>
  </si>
  <si>
    <t>Beban Kerja</t>
  </si>
  <si>
    <t>Stres Kerja</t>
  </si>
  <si>
    <t>Cyberloafing</t>
  </si>
  <si>
    <t>Item</t>
  </si>
  <si>
    <t>Pertanyaan 1</t>
  </si>
  <si>
    <t>Pertanyaan 2</t>
  </si>
  <si>
    <t>Pertanyaan 3</t>
  </si>
  <si>
    <t>Pertanyaan 4</t>
  </si>
  <si>
    <t>Pertanyaan 5</t>
  </si>
  <si>
    <t>Pertanyaan 6</t>
  </si>
  <si>
    <t>Pertanyaan 7</t>
  </si>
  <si>
    <t>Pertanyaan 8</t>
  </si>
  <si>
    <t>Pertanyaan 9</t>
  </si>
  <si>
    <t>Pertanyaan 10</t>
  </si>
  <si>
    <t>Pertanyaan 11</t>
  </si>
  <si>
    <t>Pertanyaan 12</t>
  </si>
  <si>
    <t>Pertanyaan 13</t>
  </si>
  <si>
    <t>Pertanyaan 14</t>
  </si>
  <si>
    <t>Pertanyaan 15</t>
  </si>
  <si>
    <t>Pertanyaan 16</t>
  </si>
  <si>
    <t>Pertanyaan 17</t>
  </si>
  <si>
    <t>Pertanyaan 18</t>
  </si>
  <si>
    <t>Pertanyaan 19</t>
  </si>
  <si>
    <t>Pertanyaan 20</t>
  </si>
  <si>
    <t>Pertanyaan 21</t>
  </si>
  <si>
    <t>Pertanyaan 22</t>
  </si>
  <si>
    <t>Pertanyaan 23</t>
  </si>
  <si>
    <t>Pertanyaan 24</t>
  </si>
  <si>
    <t>Pertanyaan 25</t>
  </si>
  <si>
    <t>Pertanyaan 26</t>
  </si>
  <si>
    <t>Pertanyaan 27</t>
  </si>
  <si>
    <t>Pertanyaan 28</t>
  </si>
  <si>
    <t>Pertanyaan 29</t>
  </si>
  <si>
    <t>Pertanyaan 30</t>
  </si>
  <si>
    <t>Beban kerja (X1)</t>
  </si>
  <si>
    <t>Stres kerja (X2)</t>
  </si>
  <si>
    <t>Cyberloafing (Y)</t>
  </si>
  <si>
    <t>r-tabel</t>
  </si>
  <si>
    <t>Pearson
Correlation (r-hitung)</t>
  </si>
  <si>
    <t>Model Summary</t>
  </si>
  <si>
    <t>Model</t>
  </si>
  <si>
    <t>R</t>
  </si>
  <si>
    <t>R Square</t>
  </si>
  <si>
    <t>Adjusted R Square</t>
  </si>
  <si>
    <t>Std. Error of the Estimate</t>
  </si>
  <si>
    <t>1</t>
  </si>
  <si>
    <t>a. Predictors: (Constant), Stres Kerja, Beban Kerja</t>
  </si>
  <si>
    <r>
      <t>.726</t>
    </r>
    <r>
      <rPr>
        <vertAlign val="superscript"/>
        <sz val="9"/>
        <color indexed="60"/>
        <rFont val="Arial"/>
        <family val="2"/>
      </rPr>
      <t>a</t>
    </r>
  </si>
  <si>
    <t>Sum of Squares</t>
  </si>
  <si>
    <t>df</t>
  </si>
  <si>
    <t>Mean Square</t>
  </si>
  <si>
    <t>F</t>
  </si>
  <si>
    <t>Sig.</t>
  </si>
  <si>
    <t>Regression</t>
  </si>
  <si>
    <t>Residual</t>
  </si>
  <si>
    <t>a. Dependent Variable: Cyberloafing</t>
  </si>
  <si>
    <t>b. Predictors: (Constant), Stres Kerja, Beban Kerja</t>
  </si>
  <si>
    <r>
      <t>ANOVA</t>
    </r>
    <r>
      <rPr>
        <b/>
        <vertAlign val="superscript"/>
        <sz val="11"/>
        <color indexed="60"/>
        <rFont val="Arial Bold"/>
      </rPr>
      <t>a</t>
    </r>
  </si>
  <si>
    <r>
      <t>.000</t>
    </r>
    <r>
      <rPr>
        <vertAlign val="superscript"/>
        <sz val="9"/>
        <color indexed="60"/>
        <rFont val="Arial"/>
        <family val="2"/>
      </rPr>
      <t>b</t>
    </r>
  </si>
  <si>
    <t>Unstandardized Coefficients</t>
  </si>
  <si>
    <t>Standardized Coefficients</t>
  </si>
  <si>
    <t>t</t>
  </si>
  <si>
    <t>B</t>
  </si>
  <si>
    <t>Std. Error</t>
  </si>
  <si>
    <t>Beta</t>
  </si>
  <si>
    <t>(Constant)</t>
  </si>
  <si>
    <r>
      <t>Coefficients</t>
    </r>
    <r>
      <rPr>
        <b/>
        <vertAlign val="superscript"/>
        <sz val="11"/>
        <color indexed="60"/>
        <rFont val="Arial Bold"/>
      </rPr>
      <t>a</t>
    </r>
  </si>
  <si>
    <t>DIMENSI</t>
  </si>
  <si>
    <t>PERTANYAAN</t>
  </si>
  <si>
    <t>ALTERNATIF JAWAB</t>
  </si>
  <si>
    <t>SS</t>
  </si>
  <si>
    <t>S</t>
  </si>
  <si>
    <t>CS</t>
  </si>
  <si>
    <t>TS</t>
  </si>
  <si>
    <t>STS</t>
  </si>
  <si>
    <t>SKOR</t>
  </si>
  <si>
    <t>RATA RATA</t>
  </si>
  <si>
    <t>KATEGORI</t>
  </si>
  <si>
    <t>Saya perlu memahami berbagai informasi dalam melaksanakan pekerjaan saya</t>
  </si>
  <si>
    <t>Saya mengambil keputusan, melakukan perhitungan, dan menggunakan daya ingat dalam pekerjaan saya</t>
  </si>
  <si>
    <t>Saya bekerja menggunakan tenaga fisik dalam pelaksanaannya</t>
  </si>
  <si>
    <t>Saya melakukan aktivitas fisik dalam waktu yang cukup lama saat bekerja</t>
  </si>
  <si>
    <t>Saya bekerja dengan posisi tubuh tertentu dalam menyelesaikan pekerjaan saya</t>
  </si>
  <si>
    <t>Saya bekerja dengan kecepatan yang sesuai dengan tuntutan pekerjaan</t>
  </si>
  <si>
    <t>Saya menggunakan pikiran saya dengan sungguh-sungguh untuk menyelesaikan pekerjaan</t>
  </si>
  <si>
    <t>Saya menggunakan tenaga fisik untuk menyelesaikan pekerjaan saya</t>
  </si>
  <si>
    <t>Saya bersungguh-sungguh untuk mencapai target kerja yang telah ditetapkan</t>
  </si>
  <si>
    <t>Saya mencapai target kerja yang telah ditetapkan</t>
  </si>
  <si>
    <t>Saya menghasilkan pekerjaan dengan kualitas yang baik</t>
  </si>
  <si>
    <t>Saya menyelesaikan tugas sesuai dengan standar kerja yang ditetapkan</t>
  </si>
  <si>
    <t>Kebutuhan Mental</t>
  </si>
  <si>
    <t>Kebutuhan Fisik</t>
  </si>
  <si>
    <t>Kebutuhan Waktu</t>
  </si>
  <si>
    <t>Performasi</t>
  </si>
  <si>
    <t>Gejala Fisik</t>
  </si>
  <si>
    <t>Saya merasakan kondisi fisik saya lebih terbebani jika tuntutan pekerjaan meningkat</t>
  </si>
  <si>
    <t>Saya mengalami keluhan fisik, seperti sakit kepala atau pusing, akibat tekanan pekerjaan</t>
  </si>
  <si>
    <t>Saya merasakan kelelahan fisik karena banyaknya tugas pekerjaan</t>
  </si>
  <si>
    <t>Saya merasakan tekanan ketika pekerjaan saya belum selesai</t>
  </si>
  <si>
    <t>Saya merasakan kecemasan ketika beban kerja meningkat</t>
  </si>
  <si>
    <t>Saya merasa gelisah ketika pekerjaan membuat kesempatan saya mengembangkan diri terbatas</t>
  </si>
  <si>
    <t>Saya mengalami kesulitan berkonsentrasi saat bekerja ketika tekanan pekerjaan meningkat</t>
  </si>
  <si>
    <t>Saya mengalami gangguan pola tidur akibat pekerjaan</t>
  </si>
  <si>
    <t>Saya menunda penyelesaian pekerjaan saat tekanan pekerjaan meningkat</t>
  </si>
  <si>
    <t>Gejala Perilaku</t>
  </si>
  <si>
    <t>Gejala Psikologis</t>
  </si>
  <si>
    <t>Saya sesekali menggunakan email atau internet untuk keperluan pribadi saat jam kerja</t>
  </si>
  <si>
    <t>Saya sesekali mengakses situs non-pekerjaan, seperti belanja online, berita, olahraga atau hiburan saat jam kerja</t>
  </si>
  <si>
    <t>Saya sesekali menggunakan internet untuk mengelola kepentingan pribadi saat jam kerja</t>
  </si>
  <si>
    <t>Saya sesekali mengakses situs yang tidak sesuai dengan aturan penggunaan internet di tempat kerja saat jam kerja</t>
  </si>
  <si>
    <t>Saya sesekali menggunakan internet kantor untuk mengelola aktivitas pribadi pada waktu tertentu sampai mengurangi fokus pada pekerjaan</t>
  </si>
  <si>
    <t>Minor Cyberloafing</t>
  </si>
  <si>
    <t>Serious Cyberloafing</t>
  </si>
  <si>
    <t>Unstandardized Residual</t>
  </si>
  <si>
    <r>
      <t>Normal Parameters</t>
    </r>
    <r>
      <rPr>
        <b/>
        <vertAlign val="superscript"/>
        <sz val="10"/>
        <rFont val="Times New Roman"/>
        <family val="1"/>
      </rPr>
      <t>a,b</t>
    </r>
  </si>
  <si>
    <r>
      <t>.200</t>
    </r>
    <r>
      <rPr>
        <b/>
        <vertAlign val="superscript"/>
        <sz val="10"/>
        <rFont val="Times New Roman"/>
        <family val="1"/>
      </rPr>
      <t>c,d</t>
    </r>
  </si>
  <si>
    <t>Baik</t>
  </si>
  <si>
    <t>Cukup Baik</t>
  </si>
  <si>
    <t>Standar Deviasi</t>
  </si>
  <si>
    <t>Rentang</t>
  </si>
  <si>
    <t>Kategori</t>
  </si>
  <si>
    <t>Rata-rata</t>
  </si>
  <si>
    <t>3,32 – 3,54</t>
  </si>
  <si>
    <t>3,54 – 3,66</t>
  </si>
  <si>
    <t>3,88 – 4,08</t>
  </si>
  <si>
    <t>Usaha Kerja</t>
  </si>
  <si>
    <r>
      <t>.642</t>
    </r>
    <r>
      <rPr>
        <vertAlign val="superscript"/>
        <sz val="9"/>
        <color indexed="60"/>
        <rFont val="Arial"/>
        <family val="2"/>
      </rPr>
      <t>**</t>
    </r>
  </si>
  <si>
    <r>
      <t>.650</t>
    </r>
    <r>
      <rPr>
        <vertAlign val="superscript"/>
        <sz val="9"/>
        <color indexed="60"/>
        <rFont val="Arial"/>
        <family val="2"/>
      </rPr>
      <t>**</t>
    </r>
  </si>
  <si>
    <r>
      <t>.665</t>
    </r>
    <r>
      <rPr>
        <vertAlign val="superscript"/>
        <sz val="9"/>
        <color indexed="60"/>
        <rFont val="Arial"/>
        <family val="2"/>
      </rPr>
      <t>**</t>
    </r>
  </si>
  <si>
    <t>.000</t>
  </si>
  <si>
    <r>
      <t>Coefficients</t>
    </r>
    <r>
      <rPr>
        <b/>
        <vertAlign val="superscript"/>
        <sz val="11"/>
        <rFont val="Arial Bold"/>
      </rPr>
      <t>a</t>
    </r>
  </si>
  <si>
    <t>b. Dependent Variable: Cyberloafing</t>
  </si>
  <si>
    <r>
      <t>Model Summary</t>
    </r>
    <r>
      <rPr>
        <b/>
        <vertAlign val="superscript"/>
        <sz val="11"/>
        <rFont val="Arial Bold"/>
      </rPr>
      <t>b</t>
    </r>
  </si>
  <si>
    <r>
      <t>.726</t>
    </r>
    <r>
      <rPr>
        <vertAlign val="superscript"/>
        <sz val="9"/>
        <rFont val="Arial"/>
        <family val="2"/>
      </rPr>
      <t>a</t>
    </r>
  </si>
  <si>
    <t>Koefisien Jalur</t>
  </si>
  <si>
    <t>t-hitung</t>
  </si>
  <si>
    <t>t-tabel (α = 0,05)</t>
  </si>
  <si>
    <t>R²</t>
  </si>
  <si>
    <t>PyX1 (Beban Kerja → Cyberloafing)</t>
  </si>
  <si>
    <t>Berpengaruh</t>
  </si>
  <si>
    <t>PyX2 (Stres Kerja → Cyberloafing)</t>
  </si>
  <si>
    <t>Collinearity Statistics</t>
  </si>
  <si>
    <t>Tolerance</t>
  </si>
  <si>
    <t>VIF</t>
  </si>
  <si>
    <t>.140</t>
  </si>
  <si>
    <t>.048</t>
  </si>
  <si>
    <t>.379</t>
  </si>
  <si>
    <t>.006</t>
  </si>
  <si>
    <t>.587</t>
  </si>
  <si>
    <t>.256</t>
  </si>
  <si>
    <t>.079</t>
  </si>
  <si>
    <t>.421</t>
  </si>
  <si>
    <t>.002</t>
  </si>
  <si>
    <r>
      <t>Coefficients</t>
    </r>
    <r>
      <rPr>
        <b/>
        <vertAlign val="superscript"/>
        <sz val="11"/>
        <color rgb="FF010205"/>
        <rFont val="Times New Roman"/>
        <family val="1"/>
      </rPr>
      <t>a</t>
    </r>
  </si>
  <si>
    <t>Beban Kerja (X1)</t>
  </si>
  <si>
    <t>Stres Kerja (X2)</t>
  </si>
  <si>
    <r>
      <t>.595</t>
    </r>
    <r>
      <rPr>
        <vertAlign val="superscript"/>
        <sz val="9"/>
        <rFont val="Times New Roman"/>
        <family val="1"/>
      </rPr>
      <t>**</t>
    </r>
  </si>
  <si>
    <r>
      <t>.440</t>
    </r>
    <r>
      <rPr>
        <vertAlign val="superscript"/>
        <sz val="9"/>
        <rFont val="Times New Roman"/>
        <family val="1"/>
      </rPr>
      <t>**</t>
    </r>
  </si>
  <si>
    <r>
      <t>.539</t>
    </r>
    <r>
      <rPr>
        <vertAlign val="superscript"/>
        <sz val="9"/>
        <rFont val="Times New Roman"/>
        <family val="1"/>
      </rPr>
      <t>**</t>
    </r>
  </si>
  <si>
    <r>
      <t>.525</t>
    </r>
    <r>
      <rPr>
        <vertAlign val="superscript"/>
        <sz val="9"/>
        <rFont val="Times New Roman"/>
        <family val="1"/>
      </rPr>
      <t>**</t>
    </r>
  </si>
  <si>
    <r>
      <t>.383</t>
    </r>
    <r>
      <rPr>
        <vertAlign val="superscript"/>
        <sz val="9"/>
        <rFont val="Times New Roman"/>
        <family val="1"/>
      </rPr>
      <t>**</t>
    </r>
  </si>
  <si>
    <r>
      <t>.496</t>
    </r>
    <r>
      <rPr>
        <vertAlign val="superscript"/>
        <sz val="9"/>
        <rFont val="Times New Roman"/>
        <family val="1"/>
      </rPr>
      <t>**</t>
    </r>
  </si>
  <si>
    <r>
      <t>.488</t>
    </r>
    <r>
      <rPr>
        <vertAlign val="superscript"/>
        <sz val="9"/>
        <rFont val="Times New Roman"/>
        <family val="1"/>
      </rPr>
      <t>**</t>
    </r>
  </si>
  <si>
    <r>
      <t>.493</t>
    </r>
    <r>
      <rPr>
        <vertAlign val="superscript"/>
        <sz val="9"/>
        <rFont val="Times New Roman"/>
        <family val="1"/>
      </rPr>
      <t>**</t>
    </r>
  </si>
  <si>
    <r>
      <t>.557</t>
    </r>
    <r>
      <rPr>
        <vertAlign val="superscript"/>
        <sz val="9"/>
        <rFont val="Times New Roman"/>
        <family val="1"/>
      </rPr>
      <t>**</t>
    </r>
  </si>
  <si>
    <r>
      <t>.615</t>
    </r>
    <r>
      <rPr>
        <vertAlign val="superscript"/>
        <sz val="9"/>
        <rFont val="Times New Roman"/>
        <family val="1"/>
      </rPr>
      <t>**</t>
    </r>
  </si>
  <si>
    <r>
      <t>.494</t>
    </r>
    <r>
      <rPr>
        <vertAlign val="superscript"/>
        <sz val="9"/>
        <rFont val="Times New Roman"/>
        <family val="1"/>
      </rPr>
      <t>**</t>
    </r>
  </si>
  <si>
    <r>
      <t>.761</t>
    </r>
    <r>
      <rPr>
        <vertAlign val="superscript"/>
        <sz val="9"/>
        <rFont val="Times New Roman"/>
        <family val="1"/>
      </rPr>
      <t>**</t>
    </r>
  </si>
  <si>
    <r>
      <t>.623</t>
    </r>
    <r>
      <rPr>
        <vertAlign val="superscript"/>
        <sz val="9"/>
        <rFont val="Times New Roman"/>
        <family val="1"/>
      </rPr>
      <t>**</t>
    </r>
  </si>
  <si>
    <r>
      <t>.551</t>
    </r>
    <r>
      <rPr>
        <vertAlign val="superscript"/>
        <sz val="9"/>
        <rFont val="Times New Roman"/>
        <family val="1"/>
      </rPr>
      <t>**</t>
    </r>
  </si>
  <si>
    <r>
      <t>.542</t>
    </r>
    <r>
      <rPr>
        <vertAlign val="superscript"/>
        <sz val="9"/>
        <rFont val="Times New Roman"/>
        <family val="1"/>
      </rPr>
      <t>**</t>
    </r>
  </si>
  <si>
    <r>
      <t>.479</t>
    </r>
    <r>
      <rPr>
        <vertAlign val="superscript"/>
        <sz val="9"/>
        <rFont val="Times New Roman"/>
        <family val="1"/>
      </rPr>
      <t>**</t>
    </r>
  </si>
  <si>
    <r>
      <t>.483</t>
    </r>
    <r>
      <rPr>
        <vertAlign val="superscript"/>
        <sz val="9"/>
        <rFont val="Times New Roman"/>
        <family val="1"/>
      </rPr>
      <t>**</t>
    </r>
  </si>
  <si>
    <r>
      <t>.609</t>
    </r>
    <r>
      <rPr>
        <vertAlign val="superscript"/>
        <sz val="9"/>
        <rFont val="Times New Roman"/>
        <family val="1"/>
      </rPr>
      <t>**</t>
    </r>
  </si>
  <si>
    <r>
      <t>.519</t>
    </r>
    <r>
      <rPr>
        <vertAlign val="superscript"/>
        <sz val="9"/>
        <rFont val="Times New Roman"/>
        <family val="1"/>
      </rPr>
      <t>**</t>
    </r>
  </si>
  <si>
    <r>
      <t>.528</t>
    </r>
    <r>
      <rPr>
        <vertAlign val="superscript"/>
        <sz val="9"/>
        <rFont val="Times New Roman"/>
        <family val="1"/>
      </rPr>
      <t>**</t>
    </r>
  </si>
  <si>
    <r>
      <t>.461</t>
    </r>
    <r>
      <rPr>
        <vertAlign val="superscript"/>
        <sz val="9"/>
        <rFont val="Times New Roman"/>
        <family val="1"/>
      </rPr>
      <t>**</t>
    </r>
  </si>
  <si>
    <r>
      <t>.562</t>
    </r>
    <r>
      <rPr>
        <vertAlign val="superscript"/>
        <sz val="9"/>
        <rFont val="Times New Roman"/>
        <family val="1"/>
      </rPr>
      <t>**</t>
    </r>
  </si>
  <si>
    <r>
      <t>.784</t>
    </r>
    <r>
      <rPr>
        <vertAlign val="superscript"/>
        <sz val="9"/>
        <rFont val="Times New Roman"/>
        <family val="1"/>
      </rPr>
      <t>**</t>
    </r>
  </si>
  <si>
    <r>
      <t>.421</t>
    </r>
    <r>
      <rPr>
        <vertAlign val="superscript"/>
        <sz val="9"/>
        <rFont val="Times New Roman"/>
        <family val="1"/>
      </rPr>
      <t>**</t>
    </r>
  </si>
  <si>
    <r>
      <t>.453</t>
    </r>
    <r>
      <rPr>
        <vertAlign val="superscript"/>
        <sz val="9"/>
        <rFont val="Times New Roman"/>
        <family val="1"/>
      </rPr>
      <t>**</t>
    </r>
  </si>
  <si>
    <r>
      <t>.549</t>
    </r>
    <r>
      <rPr>
        <vertAlign val="superscript"/>
        <sz val="9"/>
        <rFont val="Times New Roman"/>
        <family val="1"/>
      </rPr>
      <t>**</t>
    </r>
  </si>
  <si>
    <r>
      <t>.420</t>
    </r>
    <r>
      <rPr>
        <vertAlign val="superscript"/>
        <sz val="9"/>
        <rFont val="Times New Roman"/>
        <family val="1"/>
      </rPr>
      <t>**</t>
    </r>
  </si>
  <si>
    <r>
      <t>.520</t>
    </r>
    <r>
      <rPr>
        <vertAlign val="superscript"/>
        <sz val="9"/>
        <rFont val="Times New Roman"/>
        <family val="1"/>
      </rPr>
      <t>**</t>
    </r>
  </si>
  <si>
    <r>
      <t>.475</t>
    </r>
    <r>
      <rPr>
        <vertAlign val="superscript"/>
        <sz val="9"/>
        <rFont val="Times New Roman"/>
        <family val="1"/>
      </rPr>
      <t>**</t>
    </r>
  </si>
  <si>
    <r>
      <t>.422</t>
    </r>
    <r>
      <rPr>
        <vertAlign val="superscript"/>
        <sz val="9"/>
        <rFont val="Times New Roman"/>
        <family val="1"/>
      </rPr>
      <t>**</t>
    </r>
  </si>
  <si>
    <r>
      <t>.460</t>
    </r>
    <r>
      <rPr>
        <vertAlign val="superscript"/>
        <sz val="9"/>
        <rFont val="Times New Roman"/>
        <family val="1"/>
      </rPr>
      <t>**</t>
    </r>
  </si>
  <si>
    <r>
      <t>.704</t>
    </r>
    <r>
      <rPr>
        <vertAlign val="superscript"/>
        <sz val="9"/>
        <rFont val="Times New Roman"/>
        <family val="1"/>
      </rPr>
      <t>**</t>
    </r>
  </si>
  <si>
    <r>
      <t>.489</t>
    </r>
    <r>
      <rPr>
        <vertAlign val="superscript"/>
        <sz val="9"/>
        <rFont val="Times New Roman"/>
        <family val="1"/>
      </rPr>
      <t>**</t>
    </r>
  </si>
  <si>
    <r>
      <t>.399</t>
    </r>
    <r>
      <rPr>
        <vertAlign val="superscript"/>
        <sz val="9"/>
        <rFont val="Times New Roman"/>
        <family val="1"/>
      </rPr>
      <t>**</t>
    </r>
  </si>
  <si>
    <r>
      <t>.568</t>
    </r>
    <r>
      <rPr>
        <vertAlign val="superscript"/>
        <sz val="9"/>
        <rFont val="Times New Roman"/>
        <family val="1"/>
      </rPr>
      <t>**</t>
    </r>
  </si>
  <si>
    <r>
      <t>.555</t>
    </r>
    <r>
      <rPr>
        <vertAlign val="superscript"/>
        <sz val="9"/>
        <rFont val="Times New Roman"/>
        <family val="1"/>
      </rPr>
      <t>**</t>
    </r>
  </si>
  <si>
    <r>
      <t>.569</t>
    </r>
    <r>
      <rPr>
        <vertAlign val="superscript"/>
        <sz val="9"/>
        <rFont val="Times New Roman"/>
        <family val="1"/>
      </rPr>
      <t>**</t>
    </r>
  </si>
  <si>
    <r>
      <t>.541</t>
    </r>
    <r>
      <rPr>
        <vertAlign val="superscript"/>
        <sz val="9"/>
        <rFont val="Times New Roman"/>
        <family val="1"/>
      </rPr>
      <t>**</t>
    </r>
  </si>
  <si>
    <r>
      <t>.474</t>
    </r>
    <r>
      <rPr>
        <vertAlign val="superscript"/>
        <sz val="9"/>
        <rFont val="Times New Roman"/>
        <family val="1"/>
      </rPr>
      <t>**</t>
    </r>
  </si>
  <si>
    <r>
      <t>.413</t>
    </r>
    <r>
      <rPr>
        <vertAlign val="superscript"/>
        <sz val="9"/>
        <rFont val="Times New Roman"/>
        <family val="1"/>
      </rPr>
      <t>**</t>
    </r>
  </si>
  <si>
    <r>
      <t>.724</t>
    </r>
    <r>
      <rPr>
        <vertAlign val="superscript"/>
        <sz val="9"/>
        <rFont val="Times New Roman"/>
        <family val="1"/>
      </rPr>
      <t>**</t>
    </r>
  </si>
  <si>
    <r>
      <t>.531</t>
    </r>
    <r>
      <rPr>
        <vertAlign val="superscript"/>
        <sz val="9"/>
        <rFont val="Times New Roman"/>
        <family val="1"/>
      </rPr>
      <t>**</t>
    </r>
  </si>
  <si>
    <r>
      <t>.507</t>
    </r>
    <r>
      <rPr>
        <vertAlign val="superscript"/>
        <sz val="9"/>
        <rFont val="Times New Roman"/>
        <family val="1"/>
      </rPr>
      <t>**</t>
    </r>
  </si>
  <si>
    <r>
      <t>.500</t>
    </r>
    <r>
      <rPr>
        <vertAlign val="superscript"/>
        <sz val="9"/>
        <rFont val="Times New Roman"/>
        <family val="1"/>
      </rPr>
      <t>**</t>
    </r>
  </si>
  <si>
    <r>
      <t>.554</t>
    </r>
    <r>
      <rPr>
        <vertAlign val="superscript"/>
        <sz val="9"/>
        <rFont val="Times New Roman"/>
        <family val="1"/>
      </rPr>
      <t>**</t>
    </r>
  </si>
  <si>
    <r>
      <t>.587</t>
    </r>
    <r>
      <rPr>
        <vertAlign val="superscript"/>
        <sz val="9"/>
        <rFont val="Times New Roman"/>
        <family val="1"/>
      </rPr>
      <t>**</t>
    </r>
  </si>
  <si>
    <r>
      <t>.510</t>
    </r>
    <r>
      <rPr>
        <vertAlign val="superscript"/>
        <sz val="9"/>
        <rFont val="Times New Roman"/>
        <family val="1"/>
      </rPr>
      <t>**</t>
    </r>
  </si>
  <si>
    <r>
      <t>.441</t>
    </r>
    <r>
      <rPr>
        <vertAlign val="superscript"/>
        <sz val="9"/>
        <rFont val="Times New Roman"/>
        <family val="1"/>
      </rPr>
      <t>**</t>
    </r>
  </si>
  <si>
    <r>
      <t>.742</t>
    </r>
    <r>
      <rPr>
        <vertAlign val="superscript"/>
        <sz val="9"/>
        <rFont val="Times New Roman"/>
        <family val="1"/>
      </rPr>
      <t>**</t>
    </r>
  </si>
  <si>
    <r>
      <t>.470</t>
    </r>
    <r>
      <rPr>
        <vertAlign val="superscript"/>
        <sz val="9"/>
        <rFont val="Times New Roman"/>
        <family val="1"/>
      </rPr>
      <t>**</t>
    </r>
  </si>
  <si>
    <r>
      <t>.412</t>
    </r>
    <r>
      <rPr>
        <vertAlign val="superscript"/>
        <sz val="9"/>
        <rFont val="Times New Roman"/>
        <family val="1"/>
      </rPr>
      <t>**</t>
    </r>
  </si>
  <si>
    <r>
      <t>.403</t>
    </r>
    <r>
      <rPr>
        <vertAlign val="superscript"/>
        <sz val="9"/>
        <rFont val="Times New Roman"/>
        <family val="1"/>
      </rPr>
      <t>**</t>
    </r>
  </si>
  <si>
    <r>
      <t>.656</t>
    </r>
    <r>
      <rPr>
        <vertAlign val="superscript"/>
        <sz val="9"/>
        <rFont val="Times New Roman"/>
        <family val="1"/>
      </rPr>
      <t>**</t>
    </r>
  </si>
  <si>
    <r>
      <t>.434</t>
    </r>
    <r>
      <rPr>
        <vertAlign val="superscript"/>
        <sz val="9"/>
        <rFont val="Times New Roman"/>
        <family val="1"/>
      </rPr>
      <t>**</t>
    </r>
  </si>
  <si>
    <r>
      <t>.314</t>
    </r>
    <r>
      <rPr>
        <vertAlign val="superscript"/>
        <sz val="9"/>
        <rFont val="Times New Roman"/>
        <family val="1"/>
      </rPr>
      <t>*</t>
    </r>
  </si>
  <si>
    <r>
      <t>.401</t>
    </r>
    <r>
      <rPr>
        <vertAlign val="superscript"/>
        <sz val="9"/>
        <rFont val="Times New Roman"/>
        <family val="1"/>
      </rPr>
      <t>**</t>
    </r>
  </si>
  <si>
    <r>
      <t>.668</t>
    </r>
    <r>
      <rPr>
        <vertAlign val="superscript"/>
        <sz val="9"/>
        <rFont val="Times New Roman"/>
        <family val="1"/>
      </rPr>
      <t>**</t>
    </r>
  </si>
  <si>
    <r>
      <t>.428</t>
    </r>
    <r>
      <rPr>
        <vertAlign val="superscript"/>
        <sz val="9"/>
        <rFont val="Times New Roman"/>
        <family val="1"/>
      </rPr>
      <t>**</t>
    </r>
  </si>
  <si>
    <r>
      <t>.544</t>
    </r>
    <r>
      <rPr>
        <vertAlign val="superscript"/>
        <sz val="9"/>
        <rFont val="Times New Roman"/>
        <family val="1"/>
      </rPr>
      <t>**</t>
    </r>
  </si>
  <si>
    <r>
      <t>.530</t>
    </r>
    <r>
      <rPr>
        <vertAlign val="superscript"/>
        <sz val="9"/>
        <rFont val="Times New Roman"/>
        <family val="1"/>
      </rPr>
      <t>**</t>
    </r>
  </si>
  <si>
    <r>
      <t>.743</t>
    </r>
    <r>
      <rPr>
        <vertAlign val="superscript"/>
        <sz val="9"/>
        <rFont val="Times New Roman"/>
        <family val="1"/>
      </rPr>
      <t>**</t>
    </r>
  </si>
  <si>
    <r>
      <t>.538</t>
    </r>
    <r>
      <rPr>
        <vertAlign val="superscript"/>
        <sz val="9"/>
        <rFont val="Times New Roman"/>
        <family val="1"/>
      </rPr>
      <t>**</t>
    </r>
  </si>
  <si>
    <r>
      <t>.521</t>
    </r>
    <r>
      <rPr>
        <vertAlign val="superscript"/>
        <sz val="9"/>
        <rFont val="Times New Roman"/>
        <family val="1"/>
      </rPr>
      <t>**</t>
    </r>
  </si>
  <si>
    <r>
      <t>.304</t>
    </r>
    <r>
      <rPr>
        <vertAlign val="superscript"/>
        <sz val="9"/>
        <rFont val="Times New Roman"/>
        <family val="1"/>
      </rPr>
      <t>*</t>
    </r>
  </si>
  <si>
    <r>
      <t>.673</t>
    </r>
    <r>
      <rPr>
        <vertAlign val="superscript"/>
        <sz val="9"/>
        <rFont val="Times New Roman"/>
        <family val="1"/>
      </rPr>
      <t>**</t>
    </r>
  </si>
  <si>
    <r>
      <t>.452</t>
    </r>
    <r>
      <rPr>
        <vertAlign val="superscript"/>
        <sz val="9"/>
        <rFont val="Times New Roman"/>
        <family val="1"/>
      </rPr>
      <t>**</t>
    </r>
  </si>
  <si>
    <r>
      <t>.354</t>
    </r>
    <r>
      <rPr>
        <vertAlign val="superscript"/>
        <sz val="9"/>
        <rFont val="Times New Roman"/>
        <family val="1"/>
      </rPr>
      <t>*</t>
    </r>
  </si>
  <si>
    <r>
      <t>1.000</t>
    </r>
    <r>
      <rPr>
        <vertAlign val="superscript"/>
        <sz val="9"/>
        <rFont val="Times New Roman"/>
        <family val="1"/>
      </rPr>
      <t>**</t>
    </r>
  </si>
  <si>
    <r>
      <t>.748</t>
    </r>
    <r>
      <rPr>
        <vertAlign val="superscript"/>
        <sz val="9"/>
        <rFont val="Times New Roman"/>
        <family val="1"/>
      </rPr>
      <t>**</t>
    </r>
  </si>
  <si>
    <r>
      <t>.765</t>
    </r>
    <r>
      <rPr>
        <vertAlign val="superscript"/>
        <sz val="9"/>
        <rFont val="Times New Roman"/>
        <family val="1"/>
      </rPr>
      <t>**</t>
    </r>
  </si>
  <si>
    <r>
      <t>.701</t>
    </r>
    <r>
      <rPr>
        <vertAlign val="superscript"/>
        <sz val="9"/>
        <rFont val="Times New Roman"/>
        <family val="1"/>
      </rPr>
      <t>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</si>
</sst>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0"/>
    <numFmt numFmtId="165" formatCode="###0.000"/>
    <numFmt numFmtId="166" formatCode="###0.0"/>
    <numFmt numFmtId="167" formatCode="0.000"/>
    <numFmt numFmtId="168" formatCode="###0.00000000"/>
    <numFmt numFmtId="169" formatCode="###0.0000000"/>
    <numFmt numFmtId="170" formatCode="###0.00000"/>
  </numFmts>
  <fonts count="4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60"/>
      <name val="Arial"/>
      <family val="2"/>
    </font>
    <font>
      <sz val="12"/>
      <color indexed="60"/>
      <name val="Times New Roman"/>
      <family val="1"/>
    </font>
    <font>
      <sz val="10"/>
      <name val="Arial"/>
      <family val="2"/>
    </font>
    <font>
      <sz val="9"/>
      <color indexed="62"/>
      <name val="Arial"/>
      <family val="2"/>
    </font>
    <font>
      <vertAlign val="superscript"/>
      <sz val="9"/>
      <color indexed="60"/>
      <name val="Arial"/>
      <family val="2"/>
    </font>
    <font>
      <b/>
      <sz val="11"/>
      <color theme="1"/>
      <name val="Calibri"/>
      <family val="2"/>
      <scheme val="minor"/>
    </font>
    <font>
      <sz val="10"/>
      <color rgb="FF1F1F1F"/>
      <name val="Arial"/>
      <family val="2"/>
    </font>
    <font>
      <i/>
      <sz val="10"/>
      <color rgb="FF1F1F1F"/>
      <name val="Arial"/>
      <family val="2"/>
    </font>
    <font>
      <b/>
      <sz val="11"/>
      <name val="Calibri"/>
      <family val="2"/>
    </font>
    <font>
      <sz val="11"/>
      <name val="Arial Bold"/>
    </font>
    <font>
      <sz val="9"/>
      <name val="Arial"/>
      <family val="2"/>
    </font>
    <font>
      <vertAlign val="superscript"/>
      <sz val="9"/>
      <color indexed="62"/>
      <name val="Arial"/>
      <family val="2"/>
    </font>
    <font>
      <b/>
      <sz val="11"/>
      <name val="Arial Bold"/>
    </font>
    <font>
      <vertAlign val="superscript"/>
      <sz val="9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i/>
      <sz val="11"/>
      <color theme="1"/>
      <name val="Times New Roman"/>
      <family val="1"/>
    </font>
    <font>
      <sz val="11"/>
      <name val="Times New Roman"/>
      <family val="1"/>
    </font>
    <font>
      <b/>
      <vertAlign val="superscript"/>
      <sz val="11"/>
      <color indexed="60"/>
      <name val="Arial Bold"/>
    </font>
    <font>
      <b/>
      <sz val="10"/>
      <name val="Times New Roman"/>
      <family val="1"/>
    </font>
    <font>
      <sz val="9"/>
      <name val="Times New Roman"/>
      <family val="1"/>
    </font>
    <font>
      <vertAlign val="superscript"/>
      <sz val="9"/>
      <name val="Times New Roman"/>
      <family val="1"/>
    </font>
    <font>
      <b/>
      <vertAlign val="superscript"/>
      <sz val="10"/>
      <name val="Times New Roman"/>
      <family val="1"/>
    </font>
    <font>
      <b/>
      <vertAlign val="superscript"/>
      <sz val="11"/>
      <name val="Arial Bold"/>
    </font>
    <font>
      <b/>
      <sz val="9"/>
      <name val="Arial"/>
      <family val="2"/>
    </font>
    <font>
      <b/>
      <sz val="11"/>
      <color rgb="FF010205"/>
      <name val="Times New Roman"/>
      <family val="1"/>
    </font>
    <font>
      <b/>
      <vertAlign val="superscript"/>
      <sz val="11"/>
      <color rgb="FF010205"/>
      <name val="Times New Roman"/>
      <family val="1"/>
    </font>
    <font>
      <sz val="9"/>
      <color rgb="FF264A60"/>
      <name val="Times New Roman"/>
      <family val="1"/>
    </font>
    <font>
      <sz val="9"/>
      <color rgb="FF010205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61"/>
      </bottom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</cellStyleXfs>
  <cellXfs count="294">
    <xf numFmtId="0" fontId="0" fillId="0" borderId="0" xfId="0"/>
    <xf numFmtId="0" fontId="9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 indent="1"/>
    </xf>
    <xf numFmtId="0" fontId="12" fillId="0" borderId="0" xfId="2"/>
    <xf numFmtId="0" fontId="13" fillId="0" borderId="2" xfId="2" applyFont="1" applyBorder="1" applyAlignment="1">
      <alignment horizontal="center" wrapText="1"/>
    </xf>
    <xf numFmtId="0" fontId="13" fillId="0" borderId="4" xfId="2" applyFont="1" applyBorder="1" applyAlignment="1">
      <alignment horizontal="center" wrapText="1"/>
    </xf>
    <xf numFmtId="0" fontId="13" fillId="2" borderId="6" xfId="2" applyFont="1" applyFill="1" applyBorder="1" applyAlignment="1">
      <alignment horizontal="left" vertical="top" wrapText="1"/>
    </xf>
    <xf numFmtId="164" fontId="10" fillId="0" borderId="7" xfId="2" applyNumberFormat="1" applyFont="1" applyBorder="1" applyAlignment="1">
      <alignment horizontal="right" vertical="top"/>
    </xf>
    <xf numFmtId="0" fontId="13" fillId="2" borderId="10" xfId="2" applyFont="1" applyFill="1" applyBorder="1" applyAlignment="1">
      <alignment horizontal="left" vertical="top" wrapText="1"/>
    </xf>
    <xf numFmtId="0" fontId="13" fillId="2" borderId="14" xfId="2" applyFont="1" applyFill="1" applyBorder="1" applyAlignment="1">
      <alignment horizontal="left" vertical="top" wrapText="1"/>
    </xf>
    <xf numFmtId="164" fontId="10" fillId="0" borderId="15" xfId="2" applyNumberFormat="1" applyFont="1" applyBorder="1" applyAlignment="1">
      <alignment horizontal="righ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0" borderId="0" xfId="1" applyFont="1" applyAlignment="1">
      <alignment vertical="top" wrapText="1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horizontal="center" wrapText="1"/>
    </xf>
    <xf numFmtId="164" fontId="6" fillId="0" borderId="0" xfId="1" applyNumberFormat="1" applyFont="1" applyAlignment="1">
      <alignment horizontal="right" vertical="top"/>
    </xf>
    <xf numFmtId="0" fontId="6" fillId="0" borderId="0" xfId="1" applyFont="1" applyAlignment="1">
      <alignment horizontal="right" vertical="top"/>
    </xf>
    <xf numFmtId="0" fontId="6" fillId="0" borderId="0" xfId="1" applyFont="1" applyAlignment="1">
      <alignment horizontal="left" vertical="top" wrapText="1"/>
    </xf>
    <xf numFmtId="165" fontId="6" fillId="0" borderId="0" xfId="1" applyNumberFormat="1" applyFont="1" applyAlignment="1">
      <alignment horizontal="right" vertical="top"/>
    </xf>
    <xf numFmtId="0" fontId="12" fillId="0" borderId="0" xfId="3"/>
    <xf numFmtId="0" fontId="13" fillId="0" borderId="2" xfId="3" applyFont="1" applyBorder="1" applyAlignment="1">
      <alignment horizontal="center" wrapText="1"/>
    </xf>
    <xf numFmtId="0" fontId="13" fillId="0" borderId="4" xfId="3" applyFont="1" applyBorder="1" applyAlignment="1">
      <alignment horizontal="center" wrapText="1"/>
    </xf>
    <xf numFmtId="0" fontId="13" fillId="2" borderId="6" xfId="3" applyFont="1" applyFill="1" applyBorder="1" applyAlignment="1">
      <alignment horizontal="left" vertical="top" wrapText="1"/>
    </xf>
    <xf numFmtId="164" fontId="10" fillId="0" borderId="7" xfId="3" applyNumberFormat="1" applyFont="1" applyBorder="1" applyAlignment="1">
      <alignment horizontal="right" vertical="top"/>
    </xf>
    <xf numFmtId="0" fontId="13" fillId="2" borderId="10" xfId="3" applyFont="1" applyFill="1" applyBorder="1" applyAlignment="1">
      <alignment horizontal="left" vertical="top" wrapText="1"/>
    </xf>
    <xf numFmtId="0" fontId="13" fillId="2" borderId="14" xfId="3" applyFont="1" applyFill="1" applyBorder="1" applyAlignment="1">
      <alignment horizontal="left" vertical="top" wrapText="1"/>
    </xf>
    <xf numFmtId="164" fontId="10" fillId="0" borderId="15" xfId="3" applyNumberFormat="1" applyFont="1" applyBorder="1" applyAlignment="1">
      <alignment horizontal="right" vertical="top"/>
    </xf>
    <xf numFmtId="0" fontId="11" fillId="0" borderId="18" xfId="3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9" fillId="0" borderId="0" xfId="0" applyFont="1" applyAlignment="1">
      <alignment horizontal="left" vertical="center" wrapText="1" indent="1"/>
    </xf>
    <xf numFmtId="0" fontId="11" fillId="0" borderId="18" xfId="2" applyFont="1" applyBorder="1" applyAlignment="1">
      <alignment horizontal="right" vertical="top"/>
    </xf>
    <xf numFmtId="0" fontId="12" fillId="0" borderId="0" xfId="4"/>
    <xf numFmtId="0" fontId="13" fillId="0" borderId="2" xfId="4" applyFont="1" applyBorder="1" applyAlignment="1">
      <alignment horizontal="center" wrapText="1"/>
    </xf>
    <xf numFmtId="0" fontId="13" fillId="0" borderId="4" xfId="4" applyFont="1" applyBorder="1" applyAlignment="1">
      <alignment horizontal="center" wrapText="1"/>
    </xf>
    <xf numFmtId="0" fontId="13" fillId="2" borderId="6" xfId="4" applyFont="1" applyFill="1" applyBorder="1" applyAlignment="1">
      <alignment horizontal="left" vertical="top" wrapText="1"/>
    </xf>
    <xf numFmtId="164" fontId="10" fillId="0" borderId="7" xfId="4" applyNumberFormat="1" applyFont="1" applyBorder="1" applyAlignment="1">
      <alignment horizontal="right" vertical="top"/>
    </xf>
    <xf numFmtId="0" fontId="13" fillId="2" borderId="10" xfId="4" applyFont="1" applyFill="1" applyBorder="1" applyAlignment="1">
      <alignment horizontal="left" vertical="top" wrapText="1"/>
    </xf>
    <xf numFmtId="0" fontId="13" fillId="2" borderId="14" xfId="4" applyFont="1" applyFill="1" applyBorder="1" applyAlignment="1">
      <alignment horizontal="left" vertical="top" wrapText="1"/>
    </xf>
    <xf numFmtId="164" fontId="10" fillId="0" borderId="15" xfId="4" applyNumberFormat="1" applyFont="1" applyBorder="1" applyAlignment="1">
      <alignment horizontal="right" vertical="top"/>
    </xf>
    <xf numFmtId="0" fontId="11" fillId="0" borderId="0" xfId="2" applyFont="1" applyAlignment="1">
      <alignment horizontal="right" vertical="top"/>
    </xf>
    <xf numFmtId="0" fontId="11" fillId="0" borderId="18" xfId="4" applyFont="1" applyBorder="1" applyAlignment="1">
      <alignment horizontal="right" vertical="top"/>
    </xf>
    <xf numFmtId="166" fontId="10" fillId="0" borderId="9" xfId="3" applyNumberFormat="1" applyFont="1" applyBorder="1" applyAlignment="1">
      <alignment horizontal="right" vertical="top"/>
    </xf>
    <xf numFmtId="164" fontId="10" fillId="0" borderId="11" xfId="3" applyNumberFormat="1" applyFont="1" applyBorder="1" applyAlignment="1">
      <alignment horizontal="right" vertical="top"/>
    </xf>
    <xf numFmtId="166" fontId="10" fillId="0" borderId="13" xfId="3" applyNumberFormat="1" applyFont="1" applyBorder="1" applyAlignment="1">
      <alignment horizontal="right" vertical="top"/>
    </xf>
    <xf numFmtId="166" fontId="10" fillId="0" borderId="17" xfId="3" applyNumberFormat="1" applyFont="1" applyBorder="1" applyAlignment="1">
      <alignment horizontal="right" vertical="top"/>
    </xf>
    <xf numFmtId="166" fontId="10" fillId="0" borderId="9" xfId="2" applyNumberFormat="1" applyFont="1" applyBorder="1" applyAlignment="1">
      <alignment horizontal="right" vertical="top"/>
    </xf>
    <xf numFmtId="164" fontId="10" fillId="0" borderId="11" xfId="2" applyNumberFormat="1" applyFont="1" applyBorder="1" applyAlignment="1">
      <alignment horizontal="right" vertical="top"/>
    </xf>
    <xf numFmtId="166" fontId="10" fillId="0" borderId="13" xfId="2" applyNumberFormat="1" applyFont="1" applyBorder="1" applyAlignment="1">
      <alignment horizontal="right" vertical="top"/>
    </xf>
    <xf numFmtId="166" fontId="10" fillId="0" borderId="17" xfId="2" applyNumberFormat="1" applyFont="1" applyBorder="1" applyAlignment="1">
      <alignment horizontal="right" vertical="top"/>
    </xf>
    <xf numFmtId="166" fontId="10" fillId="0" borderId="9" xfId="4" applyNumberFormat="1" applyFont="1" applyBorder="1" applyAlignment="1">
      <alignment horizontal="right" vertical="top"/>
    </xf>
    <xf numFmtId="164" fontId="10" fillId="0" borderId="11" xfId="4" applyNumberFormat="1" applyFont="1" applyBorder="1" applyAlignment="1">
      <alignment horizontal="right" vertical="top"/>
    </xf>
    <xf numFmtId="166" fontId="10" fillId="0" borderId="13" xfId="4" applyNumberFormat="1" applyFont="1" applyBorder="1" applyAlignment="1">
      <alignment horizontal="right" vertical="top"/>
    </xf>
    <xf numFmtId="166" fontId="10" fillId="0" borderId="17" xfId="4" applyNumberFormat="1" applyFont="1" applyBorder="1" applyAlignment="1">
      <alignment horizontal="right" vertical="top"/>
    </xf>
    <xf numFmtId="0" fontId="9" fillId="0" borderId="18" xfId="0" applyFont="1" applyBorder="1"/>
    <xf numFmtId="0" fontId="7" fillId="0" borderId="18" xfId="0" applyFont="1" applyBorder="1" applyAlignment="1">
      <alignment horizontal="center"/>
    </xf>
    <xf numFmtId="167" fontId="9" fillId="0" borderId="18" xfId="0" applyNumberFormat="1" applyFont="1" applyBorder="1" applyAlignment="1">
      <alignment horizontal="left"/>
    </xf>
    <xf numFmtId="0" fontId="15" fillId="0" borderId="18" xfId="0" applyFont="1" applyBorder="1" applyAlignment="1">
      <alignment horizontal="right" vertical="center" wrapText="1"/>
    </xf>
    <xf numFmtId="0" fontId="0" fillId="0" borderId="18" xfId="0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9" fontId="15" fillId="0" borderId="18" xfId="0" applyNumberFormat="1" applyFont="1" applyBorder="1" applyAlignment="1">
      <alignment horizontal="right" vertical="center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15" fillId="0" borderId="18" xfId="0" applyFont="1" applyBorder="1"/>
    <xf numFmtId="9" fontId="0" fillId="0" borderId="18" xfId="0" applyNumberFormat="1" applyBorder="1" applyAlignment="1">
      <alignment horizontal="center"/>
    </xf>
    <xf numFmtId="0" fontId="15" fillId="0" borderId="18" xfId="0" applyFont="1" applyBorder="1" applyAlignment="1">
      <alignment horizontal="center"/>
    </xf>
    <xf numFmtId="9" fontId="15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9" fontId="0" fillId="0" borderId="18" xfId="0" applyNumberFormat="1" applyBorder="1" applyAlignment="1">
      <alignment horizontal="center" vertical="center" wrapText="1"/>
    </xf>
    <xf numFmtId="9" fontId="0" fillId="0" borderId="18" xfId="0" applyNumberFormat="1" applyBorder="1"/>
    <xf numFmtId="0" fontId="0" fillId="0" borderId="18" xfId="0" applyBorder="1" applyAlignment="1">
      <alignment horizontal="right" vertical="center" wrapText="1"/>
    </xf>
    <xf numFmtId="9" fontId="0" fillId="0" borderId="18" xfId="0" applyNumberFormat="1" applyBorder="1" applyAlignment="1">
      <alignment horizontal="right" vertical="center" wrapText="1"/>
    </xf>
    <xf numFmtId="0" fontId="7" fillId="0" borderId="19" xfId="0" applyFont="1" applyBorder="1"/>
    <xf numFmtId="0" fontId="25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6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29" fillId="0" borderId="18" xfId="3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29" fillId="0" borderId="18" xfId="2" applyFont="1" applyBorder="1" applyAlignment="1">
      <alignment horizontal="center" vertical="top"/>
    </xf>
    <xf numFmtId="0" fontId="29" fillId="0" borderId="18" xfId="4" applyFont="1" applyBorder="1" applyAlignment="1">
      <alignment horizontal="center" vertical="top"/>
    </xf>
    <xf numFmtId="0" fontId="24" fillId="0" borderId="18" xfId="0" applyFont="1" applyBorder="1" applyAlignment="1">
      <alignment horizontal="center" vertical="center"/>
    </xf>
    <xf numFmtId="165" fontId="27" fillId="0" borderId="18" xfId="3" applyNumberFormat="1" applyFont="1" applyBorder="1" applyAlignment="1">
      <alignment horizontal="left" vertical="top"/>
    </xf>
    <xf numFmtId="165" fontId="27" fillId="0" borderId="18" xfId="2" applyNumberFormat="1" applyFont="1" applyBorder="1" applyAlignment="1">
      <alignment horizontal="left" vertical="top"/>
    </xf>
    <xf numFmtId="165" fontId="27" fillId="0" borderId="18" xfId="4" applyNumberFormat="1" applyFont="1" applyBorder="1" applyAlignment="1">
      <alignment horizontal="left" vertical="top"/>
    </xf>
    <xf numFmtId="0" fontId="9" fillId="0" borderId="18" xfId="0" applyFont="1" applyBorder="1" applyAlignment="1">
      <alignment horizontal="left"/>
    </xf>
    <xf numFmtId="0" fontId="12" fillId="0" borderId="0" xfId="5"/>
    <xf numFmtId="0" fontId="13" fillId="0" borderId="1" xfId="5" applyFont="1" applyBorder="1" applyAlignment="1">
      <alignment horizontal="left" wrapText="1"/>
    </xf>
    <xf numFmtId="0" fontId="13" fillId="0" borderId="2" xfId="5" applyFont="1" applyBorder="1" applyAlignment="1">
      <alignment horizontal="center" wrapText="1"/>
    </xf>
    <xf numFmtId="0" fontId="13" fillId="0" borderId="3" xfId="5" applyFont="1" applyBorder="1" applyAlignment="1">
      <alignment horizontal="center" wrapText="1"/>
    </xf>
    <xf numFmtId="0" fontId="13" fillId="0" borderId="4" xfId="5" applyFont="1" applyBorder="1" applyAlignment="1">
      <alignment horizontal="center" wrapText="1"/>
    </xf>
    <xf numFmtId="0" fontId="13" fillId="2" borderId="24" xfId="5" applyFont="1" applyFill="1" applyBorder="1" applyAlignment="1">
      <alignment horizontal="left" vertical="top"/>
    </xf>
    <xf numFmtId="0" fontId="10" fillId="0" borderId="20" xfId="5" applyFont="1" applyBorder="1" applyAlignment="1">
      <alignment horizontal="right" vertical="top"/>
    </xf>
    <xf numFmtId="165" fontId="10" fillId="0" borderId="25" xfId="5" applyNumberFormat="1" applyFont="1" applyBorder="1" applyAlignment="1">
      <alignment horizontal="right" vertical="top"/>
    </xf>
    <xf numFmtId="165" fontId="10" fillId="0" borderId="21" xfId="5" applyNumberFormat="1" applyFont="1" applyBorder="1" applyAlignment="1">
      <alignment horizontal="right" vertical="top"/>
    </xf>
    <xf numFmtId="0" fontId="13" fillId="2" borderId="6" xfId="5" applyFont="1" applyFill="1" applyBorder="1" applyAlignment="1">
      <alignment horizontal="left" vertical="top" wrapText="1"/>
    </xf>
    <xf numFmtId="165" fontId="10" fillId="0" borderId="7" xfId="5" applyNumberFormat="1" applyFont="1" applyBorder="1" applyAlignment="1">
      <alignment horizontal="right" vertical="top"/>
    </xf>
    <xf numFmtId="164" fontId="10" fillId="0" borderId="8" xfId="5" applyNumberFormat="1" applyFont="1" applyBorder="1" applyAlignment="1">
      <alignment horizontal="right" vertical="top"/>
    </xf>
    <xf numFmtId="165" fontId="10" fillId="0" borderId="8" xfId="5" applyNumberFormat="1" applyFont="1" applyBorder="1" applyAlignment="1">
      <alignment horizontal="right" vertical="top"/>
    </xf>
    <xf numFmtId="0" fontId="10" fillId="0" borderId="9" xfId="5" applyFont="1" applyBorder="1" applyAlignment="1">
      <alignment horizontal="right" vertical="top"/>
    </xf>
    <xf numFmtId="0" fontId="13" fillId="2" borderId="10" xfId="5" applyFont="1" applyFill="1" applyBorder="1" applyAlignment="1">
      <alignment horizontal="left" vertical="top" wrapText="1"/>
    </xf>
    <xf numFmtId="165" fontId="10" fillId="0" borderId="11" xfId="5" applyNumberFormat="1" applyFont="1" applyBorder="1" applyAlignment="1">
      <alignment horizontal="right" vertical="top"/>
    </xf>
    <xf numFmtId="164" fontId="10" fillId="0" borderId="12" xfId="5" applyNumberFormat="1" applyFont="1" applyBorder="1" applyAlignment="1">
      <alignment horizontal="right" vertical="top"/>
    </xf>
    <xf numFmtId="165" fontId="10" fillId="0" borderId="12" xfId="5" applyNumberFormat="1" applyFont="1" applyBorder="1" applyAlignment="1">
      <alignment horizontal="right" vertical="top"/>
    </xf>
    <xf numFmtId="0" fontId="10" fillId="0" borderId="12" xfId="5" applyFont="1" applyBorder="1" applyAlignment="1">
      <alignment horizontal="left" vertical="top" wrapText="1"/>
    </xf>
    <xf numFmtId="0" fontId="10" fillId="0" borderId="13" xfId="5" applyFont="1" applyBorder="1" applyAlignment="1">
      <alignment horizontal="left" vertical="top" wrapText="1"/>
    </xf>
    <xf numFmtId="0" fontId="13" fillId="2" borderId="14" xfId="5" applyFont="1" applyFill="1" applyBorder="1" applyAlignment="1">
      <alignment horizontal="left" vertical="top" wrapText="1"/>
    </xf>
    <xf numFmtId="165" fontId="10" fillId="0" borderId="15" xfId="5" applyNumberFormat="1" applyFont="1" applyBorder="1" applyAlignment="1">
      <alignment horizontal="right" vertical="top"/>
    </xf>
    <xf numFmtId="164" fontId="10" fillId="0" borderId="16" xfId="5" applyNumberFormat="1" applyFont="1" applyBorder="1" applyAlignment="1">
      <alignment horizontal="right" vertical="top"/>
    </xf>
    <xf numFmtId="0" fontId="10" fillId="0" borderId="16" xfId="5" applyFont="1" applyBorder="1" applyAlignment="1">
      <alignment horizontal="left" vertical="top" wrapText="1"/>
    </xf>
    <xf numFmtId="0" fontId="10" fillId="0" borderId="17" xfId="5" applyFont="1" applyBorder="1" applyAlignment="1">
      <alignment horizontal="left" vertical="top" wrapText="1"/>
    </xf>
    <xf numFmtId="0" fontId="13" fillId="0" borderId="27" xfId="5" applyFont="1" applyBorder="1" applyAlignment="1">
      <alignment horizontal="center" wrapText="1"/>
    </xf>
    <xf numFmtId="0" fontId="10" fillId="0" borderId="8" xfId="5" applyFont="1" applyBorder="1" applyAlignment="1">
      <alignment horizontal="left" vertical="top" wrapText="1"/>
    </xf>
    <xf numFmtId="165" fontId="10" fillId="0" borderId="9" xfId="5" applyNumberFormat="1" applyFont="1" applyBorder="1" applyAlignment="1">
      <alignment horizontal="right" vertical="top"/>
    </xf>
    <xf numFmtId="165" fontId="10" fillId="0" borderId="13" xfId="5" applyNumberFormat="1" applyFont="1" applyBorder="1" applyAlignment="1">
      <alignment horizontal="right" vertical="top"/>
    </xf>
    <xf numFmtId="165" fontId="10" fillId="0" borderId="16" xfId="5" applyNumberFormat="1" applyFont="1" applyBorder="1" applyAlignment="1">
      <alignment horizontal="right" vertical="top"/>
    </xf>
    <xf numFmtId="165" fontId="10" fillId="0" borderId="17" xfId="5" applyNumberFormat="1" applyFont="1" applyBorder="1" applyAlignment="1">
      <alignment horizontal="right" vertical="top"/>
    </xf>
    <xf numFmtId="0" fontId="3" fillId="0" borderId="0" xfId="6"/>
    <xf numFmtId="0" fontId="31" fillId="0" borderId="18" xfId="6" applyFont="1" applyBorder="1" applyAlignment="1">
      <alignment horizontal="center" wrapText="1"/>
    </xf>
    <xf numFmtId="0" fontId="31" fillId="6" borderId="18" xfId="6" applyFont="1" applyFill="1" applyBorder="1" applyAlignment="1">
      <alignment horizontal="left" vertical="top" wrapText="1"/>
    </xf>
    <xf numFmtId="164" fontId="31" fillId="0" borderId="18" xfId="6" applyNumberFormat="1" applyFont="1" applyBorder="1" applyAlignment="1">
      <alignment horizontal="left" vertical="top"/>
    </xf>
    <xf numFmtId="169" fontId="31" fillId="0" borderId="18" xfId="6" applyNumberFormat="1" applyFont="1" applyBorder="1" applyAlignment="1">
      <alignment horizontal="left" vertical="top"/>
    </xf>
    <xf numFmtId="168" fontId="31" fillId="0" borderId="18" xfId="6" applyNumberFormat="1" applyFont="1" applyBorder="1" applyAlignment="1">
      <alignment horizontal="left" vertical="top"/>
    </xf>
    <xf numFmtId="165" fontId="31" fillId="0" borderId="18" xfId="6" applyNumberFormat="1" applyFont="1" applyBorder="1" applyAlignment="1">
      <alignment horizontal="left" vertical="top"/>
    </xf>
    <xf numFmtId="0" fontId="31" fillId="0" borderId="18" xfId="6" applyFont="1" applyBorder="1" applyAlignment="1">
      <alignment horizontal="left" vertical="top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0" borderId="18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18" xfId="0" applyFont="1" applyBorder="1" applyAlignment="1">
      <alignment vertical="center" wrapText="1"/>
    </xf>
    <xf numFmtId="10" fontId="25" fillId="0" borderId="18" xfId="0" applyNumberFormat="1" applyFont="1" applyBorder="1" applyAlignment="1">
      <alignment vertical="center" wrapText="1"/>
    </xf>
    <xf numFmtId="9" fontId="25" fillId="0" borderId="18" xfId="0" applyNumberFormat="1" applyFont="1" applyBorder="1" applyAlignment="1">
      <alignment vertical="center" wrapText="1"/>
    </xf>
    <xf numFmtId="0" fontId="25" fillId="0" borderId="18" xfId="0" applyFont="1" applyBorder="1" applyAlignment="1">
      <alignment vertical="center"/>
    </xf>
    <xf numFmtId="10" fontId="24" fillId="0" borderId="18" xfId="0" applyNumberFormat="1" applyFont="1" applyBorder="1" applyAlignment="1">
      <alignment horizontal="center" vertical="center" wrapText="1"/>
    </xf>
    <xf numFmtId="9" fontId="24" fillId="0" borderId="18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12" fillId="0" borderId="0" xfId="7"/>
    <xf numFmtId="0" fontId="13" fillId="0" borderId="18" xfId="7" applyFont="1" applyBorder="1" applyAlignment="1">
      <alignment horizontal="center" vertical="center" wrapText="1"/>
    </xf>
    <xf numFmtId="164" fontId="10" fillId="0" borderId="18" xfId="7" applyNumberFormat="1" applyFont="1" applyBorder="1" applyAlignment="1">
      <alignment horizontal="left" vertical="top"/>
    </xf>
    <xf numFmtId="0" fontId="10" fillId="0" borderId="18" xfId="7" applyFont="1" applyBorder="1" applyAlignment="1">
      <alignment horizontal="left" vertical="top"/>
    </xf>
    <xf numFmtId="0" fontId="10" fillId="0" borderId="18" xfId="7" applyFont="1" applyBorder="1" applyAlignment="1">
      <alignment horizontal="left" vertical="top" wrapText="1"/>
    </xf>
    <xf numFmtId="165" fontId="10" fillId="0" borderId="18" xfId="7" applyNumberFormat="1" applyFont="1" applyBorder="1" applyAlignment="1">
      <alignment horizontal="left" vertical="top"/>
    </xf>
    <xf numFmtId="0" fontId="13" fillId="0" borderId="18" xfId="7" applyFont="1" applyBorder="1" applyAlignment="1">
      <alignment horizontal="center" wrapText="1"/>
    </xf>
    <xf numFmtId="165" fontId="10" fillId="0" borderId="18" xfId="7" applyNumberFormat="1" applyFont="1" applyBorder="1" applyAlignment="1">
      <alignment horizontal="right" vertical="top"/>
    </xf>
    <xf numFmtId="0" fontId="20" fillId="0" borderId="18" xfId="7" applyFont="1" applyBorder="1" applyAlignment="1">
      <alignment horizontal="left" vertical="center" wrapText="1"/>
    </xf>
    <xf numFmtId="165" fontId="20" fillId="0" borderId="18" xfId="7" applyNumberFormat="1" applyFont="1" applyBorder="1" applyAlignment="1">
      <alignment horizontal="right" vertical="center"/>
    </xf>
    <xf numFmtId="0" fontId="20" fillId="6" borderId="18" xfId="7" applyFont="1" applyFill="1" applyBorder="1" applyAlignment="1">
      <alignment horizontal="left" vertical="center" wrapText="1"/>
    </xf>
    <xf numFmtId="0" fontId="13" fillId="6" borderId="18" xfId="7" applyFont="1" applyFill="1" applyBorder="1" applyAlignment="1">
      <alignment horizontal="left" vertical="top" wrapText="1"/>
    </xf>
    <xf numFmtId="0" fontId="13" fillId="6" borderId="18" xfId="7" applyFont="1" applyFill="1" applyBorder="1" applyAlignment="1">
      <alignment horizontal="left" vertical="center" wrapText="1"/>
    </xf>
    <xf numFmtId="0" fontId="36" fillId="0" borderId="18" xfId="7" applyFont="1" applyBorder="1" applyAlignment="1">
      <alignment horizontal="center" vertical="center" wrapText="1"/>
    </xf>
    <xf numFmtId="0" fontId="20" fillId="0" borderId="18" xfId="7" applyFont="1" applyBorder="1" applyAlignment="1">
      <alignment horizontal="center" wrapText="1"/>
    </xf>
    <xf numFmtId="0" fontId="20" fillId="6" borderId="18" xfId="7" applyFont="1" applyFill="1" applyBorder="1" applyAlignment="1">
      <alignment horizontal="left" vertical="top"/>
    </xf>
    <xf numFmtId="0" fontId="20" fillId="0" borderId="18" xfId="7" applyFont="1" applyBorder="1" applyAlignment="1">
      <alignment horizontal="right" vertical="top"/>
    </xf>
    <xf numFmtId="165" fontId="20" fillId="0" borderId="18" xfId="7" applyNumberFormat="1" applyFont="1" applyBorder="1" applyAlignment="1">
      <alignment horizontal="right" vertical="top"/>
    </xf>
    <xf numFmtId="170" fontId="20" fillId="0" borderId="18" xfId="7" applyNumberFormat="1" applyFont="1" applyBorder="1" applyAlignment="1">
      <alignment horizontal="right" vertical="top"/>
    </xf>
    <xf numFmtId="0" fontId="12" fillId="0" borderId="18" xfId="7" applyBorder="1"/>
    <xf numFmtId="164" fontId="10" fillId="0" borderId="18" xfId="7" applyNumberFormat="1" applyFont="1" applyBorder="1" applyAlignment="1">
      <alignment horizontal="right" vertical="top"/>
    </xf>
    <xf numFmtId="0" fontId="10" fillId="0" borderId="18" xfId="7" applyFont="1" applyBorder="1" applyAlignment="1">
      <alignment horizontal="right" vertical="top"/>
    </xf>
    <xf numFmtId="0" fontId="9" fillId="7" borderId="18" xfId="0" applyFont="1" applyFill="1" applyBorder="1" applyAlignment="1">
      <alignment vertical="center" wrapText="1"/>
    </xf>
    <xf numFmtId="0" fontId="39" fillId="7" borderId="18" xfId="0" applyFont="1" applyFill="1" applyBorder="1" applyAlignment="1">
      <alignment horizontal="center" vertical="center" wrapText="1"/>
    </xf>
    <xf numFmtId="0" fontId="39" fillId="8" borderId="18" xfId="0" applyFont="1" applyFill="1" applyBorder="1" applyAlignment="1">
      <alignment vertical="center" wrapText="1"/>
    </xf>
    <xf numFmtId="3" fontId="40" fillId="7" borderId="18" xfId="0" applyNumberFormat="1" applyFont="1" applyFill="1" applyBorder="1" applyAlignment="1">
      <alignment horizontal="right" vertical="center" wrapText="1"/>
    </xf>
    <xf numFmtId="0" fontId="40" fillId="7" borderId="18" xfId="0" applyFont="1" applyFill="1" applyBorder="1" applyAlignment="1">
      <alignment horizontal="right" vertical="center" wrapText="1"/>
    </xf>
    <xf numFmtId="0" fontId="1" fillId="0" borderId="18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9" fillId="9" borderId="18" xfId="1" applyFont="1" applyFill="1" applyBorder="1" applyAlignment="1">
      <alignment vertical="center" wrapText="1"/>
    </xf>
    <xf numFmtId="0" fontId="20" fillId="9" borderId="18" xfId="1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3" fillId="0" borderId="18" xfId="3" applyFont="1" applyBorder="1" applyAlignment="1">
      <alignment horizontal="center" wrapText="1"/>
    </xf>
    <xf numFmtId="164" fontId="10" fillId="0" borderId="18" xfId="3" applyNumberFormat="1" applyFont="1" applyBorder="1" applyAlignment="1">
      <alignment horizontal="right" vertical="top"/>
    </xf>
    <xf numFmtId="165" fontId="10" fillId="0" borderId="18" xfId="3" applyNumberFormat="1" applyFont="1" applyBorder="1" applyAlignment="1">
      <alignment horizontal="right" vertical="top"/>
    </xf>
    <xf numFmtId="0" fontId="32" fillId="0" borderId="18" xfId="3" applyFont="1" applyBorder="1" applyAlignment="1">
      <alignment horizontal="center" wrapText="1"/>
    </xf>
    <xf numFmtId="0" fontId="32" fillId="9" borderId="18" xfId="3" applyFont="1" applyFill="1" applyBorder="1" applyAlignment="1">
      <alignment horizontal="left" vertical="top" wrapText="1"/>
    </xf>
    <xf numFmtId="164" fontId="32" fillId="0" borderId="18" xfId="3" applyNumberFormat="1" applyFont="1" applyBorder="1" applyAlignment="1">
      <alignment horizontal="right" vertical="top"/>
    </xf>
    <xf numFmtId="0" fontId="32" fillId="0" borderId="18" xfId="3" applyFont="1" applyBorder="1" applyAlignment="1">
      <alignment horizontal="right" vertical="top"/>
    </xf>
    <xf numFmtId="0" fontId="32" fillId="0" borderId="18" xfId="3" applyFont="1" applyBorder="1" applyAlignment="1">
      <alignment horizontal="left" vertical="top" wrapText="1"/>
    </xf>
    <xf numFmtId="165" fontId="32" fillId="0" borderId="18" xfId="3" applyNumberFormat="1" applyFont="1" applyBorder="1" applyAlignment="1">
      <alignment horizontal="right" vertical="top"/>
    </xf>
    <xf numFmtId="0" fontId="13" fillId="0" borderId="18" xfId="2" applyFont="1" applyBorder="1" applyAlignment="1">
      <alignment horizontal="center" wrapText="1"/>
    </xf>
    <xf numFmtId="0" fontId="13" fillId="9" borderId="18" xfId="2" applyFont="1" applyFill="1" applyBorder="1" applyAlignment="1">
      <alignment horizontal="left" vertical="top" wrapText="1"/>
    </xf>
    <xf numFmtId="164" fontId="10" fillId="0" borderId="18" xfId="2" applyNumberFormat="1" applyFont="1" applyBorder="1" applyAlignment="1">
      <alignment horizontal="right" vertical="top"/>
    </xf>
    <xf numFmtId="0" fontId="10" fillId="0" borderId="18" xfId="2" applyFont="1" applyBorder="1" applyAlignment="1">
      <alignment horizontal="right" vertical="top"/>
    </xf>
    <xf numFmtId="0" fontId="10" fillId="0" borderId="18" xfId="2" applyFont="1" applyBorder="1" applyAlignment="1">
      <alignment horizontal="left" vertical="top" wrapText="1"/>
    </xf>
    <xf numFmtId="165" fontId="10" fillId="0" borderId="18" xfId="2" applyNumberFormat="1" applyFont="1" applyBorder="1" applyAlignment="1">
      <alignment horizontal="right" vertical="top"/>
    </xf>
    <xf numFmtId="0" fontId="13" fillId="0" borderId="18" xfId="4" applyFont="1" applyBorder="1" applyAlignment="1">
      <alignment horizontal="center" wrapText="1"/>
    </xf>
    <xf numFmtId="0" fontId="13" fillId="9" borderId="18" xfId="4" applyFont="1" applyFill="1" applyBorder="1" applyAlignment="1">
      <alignment horizontal="left" vertical="top" wrapText="1"/>
    </xf>
    <xf numFmtId="164" fontId="10" fillId="0" borderId="18" xfId="4" applyNumberFormat="1" applyFont="1" applyBorder="1" applyAlignment="1">
      <alignment horizontal="right" vertical="top"/>
    </xf>
    <xf numFmtId="165" fontId="10" fillId="0" borderId="18" xfId="4" applyNumberFormat="1" applyFont="1" applyBorder="1" applyAlignment="1">
      <alignment horizontal="right" vertical="top"/>
    </xf>
    <xf numFmtId="0" fontId="10" fillId="0" borderId="18" xfId="4" applyFont="1" applyBorder="1" applyAlignment="1">
      <alignment horizontal="right" vertical="top"/>
    </xf>
    <xf numFmtId="0" fontId="10" fillId="0" borderId="18" xfId="4" applyFont="1" applyBorder="1" applyAlignment="1">
      <alignment horizontal="left" vertical="top" wrapText="1"/>
    </xf>
    <xf numFmtId="0" fontId="15" fillId="0" borderId="2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3" fillId="0" borderId="18" xfId="7" applyFont="1" applyBorder="1" applyAlignment="1">
      <alignment horizontal="left" wrapText="1"/>
    </xf>
    <xf numFmtId="0" fontId="13" fillId="6" borderId="18" xfId="7" applyFont="1" applyFill="1" applyBorder="1" applyAlignment="1">
      <alignment horizontal="left" vertical="top"/>
    </xf>
    <xf numFmtId="0" fontId="13" fillId="6" borderId="18" xfId="7" applyFont="1" applyFill="1" applyBorder="1" applyAlignment="1">
      <alignment horizontal="left" vertical="top" wrapText="1"/>
    </xf>
    <xf numFmtId="0" fontId="10" fillId="0" borderId="18" xfId="7" applyFont="1" applyBorder="1" applyAlignment="1">
      <alignment horizontal="left" vertical="top" wrapText="1"/>
    </xf>
    <xf numFmtId="0" fontId="24" fillId="0" borderId="29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0" fillId="0" borderId="18" xfId="7" applyFont="1" applyBorder="1" applyAlignment="1">
      <alignment horizontal="left" vertical="center" wrapText="1"/>
    </xf>
    <xf numFmtId="0" fontId="22" fillId="0" borderId="18" xfId="7" applyFont="1" applyBorder="1" applyAlignment="1">
      <alignment horizontal="center" vertical="center" wrapText="1"/>
    </xf>
    <xf numFmtId="0" fontId="20" fillId="0" borderId="18" xfId="7" applyFont="1" applyBorder="1" applyAlignment="1">
      <alignment horizontal="left" wrapText="1"/>
    </xf>
    <xf numFmtId="0" fontId="4" fillId="0" borderId="18" xfId="7" applyFont="1" applyBorder="1" applyAlignment="1">
      <alignment horizontal="center" vertical="center" wrapText="1"/>
    </xf>
    <xf numFmtId="0" fontId="36" fillId="0" borderId="18" xfId="7" applyFont="1" applyBorder="1" applyAlignment="1">
      <alignment horizontal="left" wrapText="1"/>
    </xf>
    <xf numFmtId="0" fontId="36" fillId="0" borderId="18" xfId="7" applyFont="1" applyBorder="1" applyAlignment="1">
      <alignment horizontal="center" vertical="center" wrapText="1"/>
    </xf>
    <xf numFmtId="0" fontId="20" fillId="6" borderId="18" xfId="7" applyFont="1" applyFill="1" applyBorder="1" applyAlignment="1">
      <alignment horizontal="left" vertical="center"/>
    </xf>
    <xf numFmtId="0" fontId="20" fillId="6" borderId="18" xfId="7" applyFont="1" applyFill="1" applyBorder="1" applyAlignment="1">
      <alignment horizontal="left" vertical="center" wrapText="1"/>
    </xf>
    <xf numFmtId="0" fontId="13" fillId="0" borderId="18" xfId="7" applyFont="1" applyBorder="1" applyAlignment="1">
      <alignment horizontal="center" vertical="center" wrapText="1"/>
    </xf>
    <xf numFmtId="0" fontId="13" fillId="6" borderId="18" xfId="7" applyFont="1" applyFill="1" applyBorder="1" applyAlignment="1">
      <alignment horizontal="center" vertical="center" wrapText="1"/>
    </xf>
    <xf numFmtId="0" fontId="10" fillId="0" borderId="18" xfId="7" applyFont="1" applyBorder="1" applyAlignment="1">
      <alignment horizontal="left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/>
    </xf>
    <xf numFmtId="3" fontId="25" fillId="0" borderId="18" xfId="0" applyNumberFormat="1" applyFont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/>
    </xf>
    <xf numFmtId="0" fontId="15" fillId="9" borderId="18" xfId="0" applyFont="1" applyFill="1" applyBorder="1" applyAlignment="1">
      <alignment horizontal="center"/>
    </xf>
    <xf numFmtId="0" fontId="8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/>
    </xf>
    <xf numFmtId="0" fontId="32" fillId="9" borderId="18" xfId="3" applyFont="1" applyFill="1" applyBorder="1" applyAlignment="1">
      <alignment horizontal="left" vertical="top" wrapText="1"/>
    </xf>
    <xf numFmtId="0" fontId="26" fillId="0" borderId="18" xfId="3" applyFont="1" applyBorder="1" applyAlignment="1">
      <alignment horizontal="center" vertical="center" wrapText="1"/>
    </xf>
    <xf numFmtId="0" fontId="32" fillId="0" borderId="18" xfId="3" applyFont="1" applyBorder="1" applyAlignment="1">
      <alignment horizontal="left" wrapText="1"/>
    </xf>
    <xf numFmtId="0" fontId="32" fillId="0" borderId="18" xfId="3" applyFont="1" applyBorder="1" applyAlignment="1">
      <alignment horizontal="left" vertical="top" wrapText="1"/>
    </xf>
    <xf numFmtId="0" fontId="4" fillId="0" borderId="0" xfId="3" applyFont="1" applyAlignment="1">
      <alignment horizontal="center" vertical="center" wrapText="1"/>
    </xf>
    <xf numFmtId="0" fontId="13" fillId="0" borderId="1" xfId="3" applyFont="1" applyBorder="1" applyAlignment="1">
      <alignment horizontal="left" wrapText="1"/>
    </xf>
    <xf numFmtId="0" fontId="13" fillId="2" borderId="6" xfId="3" applyFont="1" applyFill="1" applyBorder="1" applyAlignment="1">
      <alignment horizontal="left" vertical="top" wrapText="1"/>
    </xf>
    <xf numFmtId="0" fontId="13" fillId="2" borderId="10" xfId="3" applyFont="1" applyFill="1" applyBorder="1" applyAlignment="1">
      <alignment horizontal="left" vertical="top" wrapText="1"/>
    </xf>
    <xf numFmtId="0" fontId="13" fillId="2" borderId="14" xfId="3" applyFont="1" applyFill="1" applyBorder="1" applyAlignment="1">
      <alignment horizontal="left" vertical="top" wrapText="1"/>
    </xf>
    <xf numFmtId="0" fontId="10" fillId="0" borderId="0" xfId="3" applyFont="1" applyAlignment="1">
      <alignment horizontal="left" vertical="top" wrapText="1"/>
    </xf>
    <xf numFmtId="0" fontId="4" fillId="0" borderId="18" xfId="3" applyFont="1" applyBorder="1" applyAlignment="1">
      <alignment horizontal="center" vertical="center" wrapText="1"/>
    </xf>
    <xf numFmtId="0" fontId="9" fillId="9" borderId="18" xfId="0" applyFon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0" fillId="0" borderId="18" xfId="2" applyFont="1" applyBorder="1" applyAlignment="1">
      <alignment horizontal="left" vertical="top" wrapText="1"/>
    </xf>
    <xf numFmtId="0" fontId="13" fillId="9" borderId="18" xfId="2" applyFont="1" applyFill="1" applyBorder="1" applyAlignment="1">
      <alignment horizontal="left" vertical="top" wrapText="1"/>
    </xf>
    <xf numFmtId="0" fontId="4" fillId="0" borderId="18" xfId="2" applyFont="1" applyBorder="1" applyAlignment="1">
      <alignment horizontal="center" vertical="center" wrapText="1"/>
    </xf>
    <xf numFmtId="0" fontId="13" fillId="0" borderId="18" xfId="2" applyFont="1" applyBorder="1" applyAlignment="1">
      <alignment horizontal="left" wrapText="1"/>
    </xf>
    <xf numFmtId="0" fontId="4" fillId="0" borderId="0" xfId="2" applyFont="1" applyAlignment="1">
      <alignment horizontal="center" vertical="center" wrapText="1"/>
    </xf>
    <xf numFmtId="0" fontId="13" fillId="0" borderId="1" xfId="2" applyFont="1" applyBorder="1" applyAlignment="1">
      <alignment horizontal="left" wrapText="1"/>
    </xf>
    <xf numFmtId="0" fontId="13" fillId="2" borderId="6" xfId="2" applyFont="1" applyFill="1" applyBorder="1" applyAlignment="1">
      <alignment horizontal="left" vertical="top" wrapText="1"/>
    </xf>
    <xf numFmtId="0" fontId="13" fillId="2" borderId="10" xfId="2" applyFont="1" applyFill="1" applyBorder="1" applyAlignment="1">
      <alignment horizontal="left" vertical="top" wrapText="1"/>
    </xf>
    <xf numFmtId="0" fontId="13" fillId="2" borderId="14" xfId="2" applyFont="1" applyFill="1" applyBorder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13" fillId="9" borderId="18" xfId="4" applyFont="1" applyFill="1" applyBorder="1" applyAlignment="1">
      <alignment horizontal="left" vertical="top" wrapText="1"/>
    </xf>
    <xf numFmtId="0" fontId="4" fillId="0" borderId="18" xfId="4" applyFont="1" applyBorder="1" applyAlignment="1">
      <alignment horizontal="center" vertical="center" wrapText="1"/>
    </xf>
    <xf numFmtId="0" fontId="13" fillId="0" borderId="18" xfId="4" applyFont="1" applyBorder="1" applyAlignment="1">
      <alignment horizontal="left" wrapText="1"/>
    </xf>
    <xf numFmtId="0" fontId="10" fillId="0" borderId="18" xfId="4" applyFont="1" applyBorder="1" applyAlignment="1">
      <alignment horizontal="left" vertical="top" wrapText="1"/>
    </xf>
    <xf numFmtId="0" fontId="4" fillId="0" borderId="0" xfId="4" applyFont="1" applyAlignment="1">
      <alignment horizontal="center" vertical="center" wrapText="1"/>
    </xf>
    <xf numFmtId="0" fontId="13" fillId="0" borderId="1" xfId="4" applyFont="1" applyBorder="1" applyAlignment="1">
      <alignment horizontal="left" wrapText="1"/>
    </xf>
    <xf numFmtId="0" fontId="13" fillId="2" borderId="6" xfId="4" applyFont="1" applyFill="1" applyBorder="1" applyAlignment="1">
      <alignment horizontal="left" vertical="top" wrapText="1"/>
    </xf>
    <xf numFmtId="0" fontId="13" fillId="2" borderId="10" xfId="4" applyFont="1" applyFill="1" applyBorder="1" applyAlignment="1">
      <alignment horizontal="left" vertical="top" wrapText="1"/>
    </xf>
    <xf numFmtId="0" fontId="13" fillId="2" borderId="14" xfId="4" applyFont="1" applyFill="1" applyBorder="1" applyAlignment="1">
      <alignment horizontal="left" vertical="top" wrapText="1"/>
    </xf>
    <xf numFmtId="0" fontId="10" fillId="0" borderId="0" xfId="4" applyFont="1" applyAlignment="1">
      <alignment horizontal="left" vertical="top" wrapText="1"/>
    </xf>
    <xf numFmtId="0" fontId="28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3" fillId="2" borderId="5" xfId="5" applyFont="1" applyFill="1" applyBorder="1" applyAlignment="1">
      <alignment horizontal="left" vertical="top"/>
    </xf>
    <xf numFmtId="0" fontId="13" fillId="2" borderId="10" xfId="5" applyFont="1" applyFill="1" applyBorder="1" applyAlignment="1">
      <alignment horizontal="left" vertical="top" wrapText="1"/>
    </xf>
    <xf numFmtId="0" fontId="13" fillId="2" borderId="14" xfId="5" applyFont="1" applyFill="1" applyBorder="1" applyAlignment="1">
      <alignment horizontal="left" vertical="top" wrapText="1"/>
    </xf>
    <xf numFmtId="0" fontId="10" fillId="0" borderId="0" xfId="5" applyFont="1" applyAlignment="1">
      <alignment horizontal="left" vertical="top" wrapText="1"/>
    </xf>
    <xf numFmtId="0" fontId="4" fillId="0" borderId="0" xfId="5" applyFont="1" applyAlignment="1">
      <alignment horizontal="center" vertical="center" wrapText="1"/>
    </xf>
    <xf numFmtId="0" fontId="10" fillId="0" borderId="5" xfId="5" applyFont="1" applyBorder="1" applyAlignment="1">
      <alignment horizontal="left" vertical="top" wrapText="1"/>
    </xf>
    <xf numFmtId="0" fontId="13" fillId="0" borderId="1" xfId="5" applyFont="1" applyBorder="1" applyAlignment="1">
      <alignment horizontal="left" wrapText="1"/>
    </xf>
    <xf numFmtId="0" fontId="13" fillId="0" borderId="0" xfId="5" applyFont="1" applyAlignment="1">
      <alignment horizontal="left" wrapText="1"/>
    </xf>
    <xf numFmtId="0" fontId="13" fillId="0" borderId="26" xfId="5" applyFont="1" applyBorder="1" applyAlignment="1">
      <alignment horizontal="center" wrapText="1"/>
    </xf>
    <xf numFmtId="0" fontId="13" fillId="0" borderId="27" xfId="5" applyFont="1" applyBorder="1" applyAlignment="1">
      <alignment horizontal="center" wrapText="1"/>
    </xf>
    <xf numFmtId="0" fontId="13" fillId="0" borderId="3" xfId="5" applyFont="1" applyBorder="1" applyAlignment="1">
      <alignment horizontal="center" wrapText="1"/>
    </xf>
    <xf numFmtId="0" fontId="13" fillId="0" borderId="28" xfId="5" applyFont="1" applyBorder="1" applyAlignment="1">
      <alignment horizontal="center" wrapText="1"/>
    </xf>
    <xf numFmtId="0" fontId="13" fillId="0" borderId="4" xfId="5" applyFont="1" applyBorder="1" applyAlignment="1">
      <alignment horizontal="center" wrapText="1"/>
    </xf>
    <xf numFmtId="0" fontId="40" fillId="7" borderId="18" xfId="0" applyFont="1" applyFill="1" applyBorder="1" applyAlignment="1">
      <alignment vertical="center" wrapText="1"/>
    </xf>
    <xf numFmtId="0" fontId="37" fillId="7" borderId="18" xfId="0" applyFont="1" applyFill="1" applyBorder="1" applyAlignment="1">
      <alignment horizontal="center" vertical="center" wrapText="1"/>
    </xf>
    <xf numFmtId="0" fontId="39" fillId="7" borderId="18" xfId="0" applyFont="1" applyFill="1" applyBorder="1" applyAlignment="1">
      <alignment vertical="center" wrapText="1"/>
    </xf>
    <xf numFmtId="0" fontId="39" fillId="7" borderId="18" xfId="0" applyFont="1" applyFill="1" applyBorder="1" applyAlignment="1">
      <alignment horizontal="center" vertical="center" wrapText="1"/>
    </xf>
    <xf numFmtId="0" fontId="39" fillId="8" borderId="18" xfId="0" applyFont="1" applyFill="1" applyBorder="1" applyAlignment="1">
      <alignment vertical="center" wrapText="1"/>
    </xf>
    <xf numFmtId="0" fontId="31" fillId="0" borderId="18" xfId="6" applyFont="1" applyBorder="1" applyAlignment="1">
      <alignment horizontal="left" vertical="center" wrapText="1"/>
    </xf>
    <xf numFmtId="0" fontId="31" fillId="0" borderId="18" xfId="6" applyFont="1" applyBorder="1" applyAlignment="1">
      <alignment horizontal="left" wrapText="1"/>
    </xf>
    <xf numFmtId="0" fontId="31" fillId="6" borderId="18" xfId="6" applyFont="1" applyFill="1" applyBorder="1" applyAlignment="1">
      <alignment horizontal="left" vertical="top" wrapText="1"/>
    </xf>
    <xf numFmtId="0" fontId="31" fillId="0" borderId="18" xfId="6" applyFont="1" applyBorder="1" applyAlignment="1">
      <alignment horizontal="left" vertical="top" wrapText="1"/>
    </xf>
  </cellXfs>
  <cellStyles count="8">
    <cellStyle name="Normal" xfId="0" builtinId="0"/>
    <cellStyle name="Normal_koefiesien Korelasi" xfId="7" xr:uid="{1B745248-C4B0-4061-88B9-728E4147D004}"/>
    <cellStyle name="Normal_Koefisien Determinasi" xfId="5" xr:uid="{DAC04087-0E97-4F68-AED3-548B0FBFD303}"/>
    <cellStyle name="Normal_UJI Normalitas_1" xfId="6" xr:uid="{DBCC01DC-A66E-4C75-B171-BDDFF4566A3B}"/>
    <cellStyle name="Normal_X1" xfId="1" xr:uid="{C9688810-47D4-4E3A-864D-0581454D209F}"/>
    <cellStyle name="Normal_X1_1" xfId="3" xr:uid="{57EF129D-9816-4840-9B4D-83110BA252C9}"/>
    <cellStyle name="Normal_X2" xfId="2" xr:uid="{B6E67503-A9B8-48C0-8C59-681472FC411F}"/>
    <cellStyle name="Normal_Y" xfId="4" xr:uid="{ED477D7E-618B-4899-832D-2C31FDA1F6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659886264217"/>
          <c:y val="4.6296296296296294E-2"/>
          <c:w val="0.47534689413823272"/>
          <c:h val="0.7922448235637211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92-4CFA-B43F-48A3F9DE9B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92-4CFA-B43F-48A3F9DE9BB7}"/>
              </c:ext>
            </c:extLst>
          </c:dPt>
          <c:cat>
            <c:strRef>
              <c:f>'Karakteristik Responden'!$B$2:$B$3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'Karakteristik Responden'!$C$2:$C$3</c:f>
              <c:numCache>
                <c:formatCode>General</c:formatCode>
                <c:ptCount val="2"/>
                <c:pt idx="0">
                  <c:v>28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F-4A45-A0D0-7D922F92A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82-4858-8098-CCAC8DDBF0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82-4858-8098-CCAC8DDBF0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82-4858-8098-CCAC8DDBF0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82-4858-8098-CCAC8DDBF000}"/>
              </c:ext>
            </c:extLst>
          </c:dPt>
          <c:cat>
            <c:strRef>
              <c:f>'Karakteristik Responden'!$B$14:$B$17</c:f>
              <c:strCache>
                <c:ptCount val="4"/>
                <c:pt idx="0">
                  <c:v>18–29 Tahun</c:v>
                </c:pt>
                <c:pt idx="1">
                  <c:v>30–39 Tahun</c:v>
                </c:pt>
                <c:pt idx="2">
                  <c:v>40–49 Tahun</c:v>
                </c:pt>
                <c:pt idx="3">
                  <c:v>&gt;50 Tahun</c:v>
                </c:pt>
              </c:strCache>
            </c:strRef>
          </c:cat>
          <c:val>
            <c:numRef>
              <c:f>'Karakteristik Responden'!$C$14:$C$17</c:f>
              <c:numCache>
                <c:formatCode>General</c:formatCode>
                <c:ptCount val="4"/>
                <c:pt idx="0">
                  <c:v>24</c:v>
                </c:pt>
                <c:pt idx="1">
                  <c:v>17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8-4C94-8FB2-886725D78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E5-4882-8722-975565FCF8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E5-4882-8722-975565FCF8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E5-4882-8722-975565FCF80A}"/>
              </c:ext>
            </c:extLst>
          </c:dPt>
          <c:cat>
            <c:strRef>
              <c:f>'Karakteristik Responden'!$B$28:$B$30</c:f>
              <c:strCache>
                <c:ptCount val="3"/>
                <c:pt idx="0">
                  <c:v>&lt;1 Tahun</c:v>
                </c:pt>
                <c:pt idx="1">
                  <c:v>1–3 Tahun</c:v>
                </c:pt>
                <c:pt idx="2">
                  <c:v>&gt;3 Tahun</c:v>
                </c:pt>
              </c:strCache>
            </c:strRef>
          </c:cat>
          <c:val>
            <c:numRef>
              <c:f>'Karakteristik Responden'!$C$28:$C$30</c:f>
              <c:numCache>
                <c:formatCode>General</c:formatCode>
                <c:ptCount val="3"/>
                <c:pt idx="0">
                  <c:v>9</c:v>
                </c:pt>
                <c:pt idx="1">
                  <c:v>14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2-46D3-9427-7F2E92C7D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0D-4035-A9D4-F8800188B9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0D-4035-A9D4-F8800188B9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0D-4035-A9D4-F8800188B9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0D-4035-A9D4-F8800188B9B4}"/>
              </c:ext>
            </c:extLst>
          </c:dPt>
          <c:cat>
            <c:strRef>
              <c:f>'Karakteristik Responden'!$B$39:$B$42</c:f>
              <c:strCache>
                <c:ptCount val="4"/>
                <c:pt idx="0">
                  <c:v>SMP Sederajat</c:v>
                </c:pt>
                <c:pt idx="1">
                  <c:v>SMA/SMK Sederajat</c:v>
                </c:pt>
                <c:pt idx="2">
                  <c:v>Sarjana S1/Diploma</c:v>
                </c:pt>
                <c:pt idx="3">
                  <c:v>S2/S3</c:v>
                </c:pt>
              </c:strCache>
            </c:strRef>
          </c:cat>
          <c:val>
            <c:numRef>
              <c:f>'Karakteristik Responden'!$C$39:$C$42</c:f>
              <c:numCache>
                <c:formatCode>General</c:formatCode>
                <c:ptCount val="4"/>
                <c:pt idx="0">
                  <c:v>4</c:v>
                </c:pt>
                <c:pt idx="1">
                  <c:v>28</c:v>
                </c:pt>
                <c:pt idx="2">
                  <c:v>16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D-469E-9C17-3274EC2E3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EB-4CD8-BABC-E8BBE342DC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EB-4CD8-BABC-E8BBE342DC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EB-4CD8-BABC-E8BBE342DC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EB-4CD8-BABC-E8BBE342DC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EB-4CD8-BABC-E8BBE342DC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EB-4CD8-BABC-E8BBE342DC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AEB-4CD8-BABC-E8BBE342DCFD}"/>
              </c:ext>
            </c:extLst>
          </c:dPt>
          <c:cat>
            <c:strRef>
              <c:f>'Karakteristik Responden'!$B$50:$B$56</c:f>
              <c:strCache>
                <c:ptCount val="7"/>
                <c:pt idx="0">
                  <c:v>Multimedia</c:v>
                </c:pt>
                <c:pt idx="1">
                  <c:v>Keuangan</c:v>
                </c:pt>
                <c:pt idx="2">
                  <c:v>Gudang</c:v>
                </c:pt>
                <c:pt idx="3">
                  <c:v>Live Streaming</c:v>
                </c:pt>
                <c:pt idx="4">
                  <c:v>Ads</c:v>
                </c:pt>
                <c:pt idx="5">
                  <c:v>HR</c:v>
                </c:pt>
                <c:pt idx="6">
                  <c:v>Yang Lain</c:v>
                </c:pt>
              </c:strCache>
            </c:strRef>
          </c:cat>
          <c:val>
            <c:numRef>
              <c:f>'Karakteristik Responden'!$C$50:$C$56</c:f>
              <c:numCache>
                <c:formatCode>General</c:formatCode>
                <c:ptCount val="7"/>
                <c:pt idx="0">
                  <c:v>8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7-4AB3-98F2-9EDF81E2D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61-42D6-8139-981FC4F522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61-42D6-8139-981FC4F522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61-42D6-8139-981FC4F52291}"/>
              </c:ext>
            </c:extLst>
          </c:dPt>
          <c:cat>
            <c:strRef>
              <c:f>'Karakteristik Responden'!$B$63:$B$65</c:f>
              <c:strCache>
                <c:ptCount val="3"/>
                <c:pt idx="0">
                  <c:v>Manajer</c:v>
                </c:pt>
                <c:pt idx="1">
                  <c:v>Supervisor</c:v>
                </c:pt>
                <c:pt idx="2">
                  <c:v>Staff</c:v>
                </c:pt>
              </c:strCache>
            </c:strRef>
          </c:cat>
          <c:val>
            <c:numRef>
              <c:f>'Karakteristik Responden'!$C$63:$C$65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A-4F61-B96A-0AA738302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0</xdr:row>
      <xdr:rowOff>152400</xdr:rowOff>
    </xdr:from>
    <xdr:to>
      <xdr:col>9</xdr:col>
      <xdr:colOff>251460</xdr:colOff>
      <xdr:row>10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C0818F-4D3B-C4CA-4A04-1CD9D77AB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411480</xdr:colOff>
      <xdr:row>11</xdr:row>
      <xdr:rowOff>163830</xdr:rowOff>
    </xdr:from>
    <xdr:to>
      <xdr:col>9</xdr:col>
      <xdr:colOff>99060</xdr:colOff>
      <xdr:row>21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F7D2D6-BB3E-50B4-D8C0-0BDB4F654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</xdr:colOff>
      <xdr:row>25</xdr:row>
      <xdr:rowOff>118110</xdr:rowOff>
    </xdr:from>
    <xdr:to>
      <xdr:col>9</xdr:col>
      <xdr:colOff>160020</xdr:colOff>
      <xdr:row>35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862C72-AF27-9AD1-8D00-F93629B28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571500</xdr:colOff>
      <xdr:row>36</xdr:row>
      <xdr:rowOff>87630</xdr:rowOff>
    </xdr:from>
    <xdr:to>
      <xdr:col>9</xdr:col>
      <xdr:colOff>426720</xdr:colOff>
      <xdr:row>46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F7AF70-B1EE-E040-F523-7B8F39196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251460</xdr:colOff>
      <xdr:row>47</xdr:row>
      <xdr:rowOff>49530</xdr:rowOff>
    </xdr:from>
    <xdr:to>
      <xdr:col>10</xdr:col>
      <xdr:colOff>441960</xdr:colOff>
      <xdr:row>59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706CA7-4B5D-07D9-0463-8F0C45EE6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487680</xdr:colOff>
      <xdr:row>60</xdr:row>
      <xdr:rowOff>133350</xdr:rowOff>
    </xdr:from>
    <xdr:to>
      <xdr:col>9</xdr:col>
      <xdr:colOff>518160</xdr:colOff>
      <xdr:row>72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F29EF5-1D4E-EFA8-3092-0735AE356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AA32-A76E-4B76-A07B-83DFF1B6505F}">
  <dimension ref="A1:AE53"/>
  <sheetViews>
    <sheetView workbookViewId="0">
      <selection activeCell="Z1" sqref="Z1:AE53"/>
    </sheetView>
  </sheetViews>
  <sheetFormatPr defaultRowHeight="14.4" x14ac:dyDescent="0.3"/>
  <cols>
    <col min="1" max="1" width="3.88671875" customWidth="1"/>
    <col min="2" max="2" width="17.77734375" customWidth="1"/>
    <col min="3" max="3" width="20.88671875" customWidth="1"/>
    <col min="4" max="4" width="21.44140625" customWidth="1"/>
    <col min="5" max="5" width="18.21875" customWidth="1"/>
    <col min="6" max="6" width="20.5546875" customWidth="1"/>
    <col min="7" max="7" width="17.77734375" customWidth="1"/>
    <col min="8" max="8" width="21.5546875" customWidth="1"/>
    <col min="9" max="9" width="19.33203125" customWidth="1"/>
    <col min="10" max="10" width="21.77734375" customWidth="1"/>
    <col min="11" max="11" width="20.33203125" customWidth="1"/>
    <col min="12" max="12" width="24.44140625" customWidth="1"/>
    <col min="13" max="13" width="21.44140625" customWidth="1"/>
    <col min="14" max="14" width="24" customWidth="1"/>
    <col min="15" max="15" width="20" customWidth="1"/>
    <col min="16" max="16" width="18.109375" customWidth="1"/>
    <col min="17" max="17" width="18.88671875" customWidth="1"/>
    <col min="18" max="18" width="20.6640625" customWidth="1"/>
    <col min="19" max="19" width="21.88671875" customWidth="1"/>
    <col min="20" max="20" width="21.33203125" customWidth="1"/>
    <col min="21" max="21" width="23.21875" customWidth="1"/>
    <col min="22" max="22" width="24.21875" customWidth="1"/>
    <col min="23" max="23" width="22.44140625" customWidth="1"/>
    <col min="24" max="24" width="22.5546875" customWidth="1"/>
    <col min="25" max="25" width="23.33203125" customWidth="1"/>
    <col min="26" max="26" width="23.44140625" customWidth="1"/>
    <col min="27" max="27" width="24.77734375" customWidth="1"/>
    <col min="28" max="28" width="22.5546875" customWidth="1"/>
    <col min="29" max="29" width="20.88671875" customWidth="1"/>
    <col min="30" max="30" width="22.5546875" customWidth="1"/>
    <col min="31" max="31" width="23.21875" customWidth="1"/>
  </cols>
  <sheetData>
    <row r="1" spans="1:31" x14ac:dyDescent="0.3">
      <c r="B1" s="203" t="s">
        <v>268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5" t="s">
        <v>269</v>
      </c>
      <c r="R1" s="206"/>
      <c r="S1" s="206"/>
      <c r="T1" s="206"/>
      <c r="U1" s="206"/>
      <c r="V1" s="206"/>
      <c r="W1" s="206"/>
      <c r="X1" s="206"/>
      <c r="Y1" s="206"/>
      <c r="Z1" s="207" t="s">
        <v>270</v>
      </c>
      <c r="AA1" s="208"/>
      <c r="AB1" s="208"/>
      <c r="AC1" s="208"/>
      <c r="AD1" s="208"/>
      <c r="AE1" s="208"/>
    </row>
    <row r="2" spans="1:31" x14ac:dyDescent="0.3">
      <c r="A2" s="12" t="s">
        <v>148</v>
      </c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149</v>
      </c>
      <c r="O2" s="12" t="s">
        <v>150</v>
      </c>
      <c r="P2" s="12" t="s">
        <v>151</v>
      </c>
      <c r="Q2" s="12" t="s">
        <v>12</v>
      </c>
      <c r="R2" s="12" t="s">
        <v>13</v>
      </c>
      <c r="S2" s="12" t="s">
        <v>14</v>
      </c>
      <c r="T2" s="12" t="s">
        <v>15</v>
      </c>
      <c r="U2" s="12" t="s">
        <v>16</v>
      </c>
      <c r="V2" s="12" t="s">
        <v>17</v>
      </c>
      <c r="W2" s="12" t="s">
        <v>18</v>
      </c>
      <c r="X2" s="12" t="s">
        <v>19</v>
      </c>
      <c r="Y2" s="12" t="s">
        <v>20</v>
      </c>
      <c r="Z2" s="12" t="s">
        <v>21</v>
      </c>
      <c r="AA2" s="12" t="s">
        <v>22</v>
      </c>
      <c r="AB2" s="12" t="s">
        <v>23</v>
      </c>
      <c r="AC2" s="12" t="s">
        <v>24</v>
      </c>
      <c r="AD2" s="12" t="s">
        <v>25</v>
      </c>
      <c r="AE2" s="12" t="s">
        <v>26</v>
      </c>
    </row>
    <row r="3" spans="1:31" ht="92.4" x14ac:dyDescent="0.3">
      <c r="A3" s="11"/>
      <c r="B3" s="13" t="s">
        <v>118</v>
      </c>
      <c r="C3" s="14" t="s">
        <v>119</v>
      </c>
      <c r="D3" s="13" t="s">
        <v>120</v>
      </c>
      <c r="E3" s="13" t="s">
        <v>121</v>
      </c>
      <c r="F3" s="13" t="s">
        <v>122</v>
      </c>
      <c r="G3" s="13" t="s">
        <v>123</v>
      </c>
      <c r="H3" s="13" t="s">
        <v>124</v>
      </c>
      <c r="I3" s="13" t="s">
        <v>125</v>
      </c>
      <c r="J3" s="13" t="s">
        <v>126</v>
      </c>
      <c r="K3" s="13" t="s">
        <v>127</v>
      </c>
      <c r="L3" s="13" t="s">
        <v>128</v>
      </c>
      <c r="M3" s="13" t="s">
        <v>129</v>
      </c>
      <c r="N3" s="13" t="s">
        <v>130</v>
      </c>
      <c r="O3" s="13" t="s">
        <v>131</v>
      </c>
      <c r="P3" s="13" t="s">
        <v>132</v>
      </c>
      <c r="Q3" s="13" t="s">
        <v>133</v>
      </c>
      <c r="R3" s="13" t="s">
        <v>134</v>
      </c>
      <c r="S3" s="13" t="s">
        <v>135</v>
      </c>
      <c r="T3" s="13" t="s">
        <v>136</v>
      </c>
      <c r="U3" s="13" t="s">
        <v>137</v>
      </c>
      <c r="V3" s="13" t="s">
        <v>138</v>
      </c>
      <c r="W3" s="13" t="s">
        <v>139</v>
      </c>
      <c r="X3" s="13" t="s">
        <v>140</v>
      </c>
      <c r="Y3" s="13" t="s">
        <v>141</v>
      </c>
      <c r="Z3" s="13" t="s">
        <v>142</v>
      </c>
      <c r="AA3" s="13" t="s">
        <v>143</v>
      </c>
      <c r="AB3" s="13" t="s">
        <v>144</v>
      </c>
      <c r="AC3" s="13" t="s">
        <v>145</v>
      </c>
      <c r="AD3" s="13" t="s">
        <v>146</v>
      </c>
      <c r="AE3" s="13" t="s">
        <v>147</v>
      </c>
    </row>
    <row r="4" spans="1:31" x14ac:dyDescent="0.3">
      <c r="A4" s="11">
        <v>1</v>
      </c>
      <c r="B4" s="11">
        <v>4</v>
      </c>
      <c r="C4" s="11">
        <v>4</v>
      </c>
      <c r="D4" s="11">
        <v>3</v>
      </c>
      <c r="E4" s="11">
        <v>4</v>
      </c>
      <c r="F4" s="11">
        <v>4</v>
      </c>
      <c r="G4" s="11">
        <v>3</v>
      </c>
      <c r="H4" s="11">
        <v>4</v>
      </c>
      <c r="I4" s="11">
        <v>4</v>
      </c>
      <c r="J4" s="11">
        <v>4</v>
      </c>
      <c r="K4" s="11">
        <v>4</v>
      </c>
      <c r="L4" s="11">
        <v>5</v>
      </c>
      <c r="M4" s="11">
        <v>4</v>
      </c>
      <c r="N4" s="11">
        <v>4</v>
      </c>
      <c r="O4" s="11">
        <v>5</v>
      </c>
      <c r="P4" s="11">
        <v>4</v>
      </c>
      <c r="Q4" s="11">
        <v>4</v>
      </c>
      <c r="R4" s="11">
        <v>4</v>
      </c>
      <c r="S4" s="11">
        <v>4</v>
      </c>
      <c r="T4" s="11">
        <v>4</v>
      </c>
      <c r="U4" s="11">
        <v>4</v>
      </c>
      <c r="V4" s="11">
        <v>4</v>
      </c>
      <c r="W4" s="11">
        <v>4</v>
      </c>
      <c r="X4" s="11">
        <v>4</v>
      </c>
      <c r="Y4" s="11">
        <v>4</v>
      </c>
      <c r="Z4" s="11">
        <v>4</v>
      </c>
      <c r="AA4" s="11">
        <v>4</v>
      </c>
      <c r="AB4" s="11">
        <v>4</v>
      </c>
      <c r="AC4" s="11">
        <v>3</v>
      </c>
      <c r="AD4" s="11">
        <v>3</v>
      </c>
      <c r="AE4" s="11">
        <v>4</v>
      </c>
    </row>
    <row r="5" spans="1:31" x14ac:dyDescent="0.3">
      <c r="A5" s="11">
        <v>2</v>
      </c>
      <c r="B5" s="11">
        <v>4</v>
      </c>
      <c r="C5" s="11">
        <v>4</v>
      </c>
      <c r="D5" s="11">
        <v>4</v>
      </c>
      <c r="E5" s="11">
        <v>3</v>
      </c>
      <c r="F5" s="11">
        <v>4</v>
      </c>
      <c r="G5" s="11">
        <v>3</v>
      </c>
      <c r="H5" s="11">
        <v>4</v>
      </c>
      <c r="I5" s="11">
        <v>4</v>
      </c>
      <c r="J5" s="11">
        <v>3</v>
      </c>
      <c r="K5" s="11">
        <v>3</v>
      </c>
      <c r="L5" s="11">
        <v>4</v>
      </c>
      <c r="M5" s="11">
        <v>4</v>
      </c>
      <c r="N5" s="11">
        <v>3</v>
      </c>
      <c r="O5" s="11">
        <v>4</v>
      </c>
      <c r="P5" s="11">
        <v>4</v>
      </c>
      <c r="Q5" s="11">
        <v>3</v>
      </c>
      <c r="R5" s="11">
        <v>3</v>
      </c>
      <c r="S5" s="11">
        <v>3</v>
      </c>
      <c r="T5" s="11">
        <v>3</v>
      </c>
      <c r="U5" s="11">
        <v>4</v>
      </c>
      <c r="V5" s="11">
        <v>4</v>
      </c>
      <c r="W5" s="11">
        <v>4</v>
      </c>
      <c r="X5" s="11">
        <v>2</v>
      </c>
      <c r="Y5" s="11">
        <v>3</v>
      </c>
      <c r="Z5" s="11">
        <v>4</v>
      </c>
      <c r="AA5" s="11">
        <v>4</v>
      </c>
      <c r="AB5" s="11">
        <v>4</v>
      </c>
      <c r="AC5" s="11">
        <v>3</v>
      </c>
      <c r="AD5" s="11">
        <v>4</v>
      </c>
      <c r="AE5" s="11">
        <v>5</v>
      </c>
    </row>
    <row r="6" spans="1:31" x14ac:dyDescent="0.3">
      <c r="A6" s="11">
        <v>3</v>
      </c>
      <c r="B6" s="11">
        <v>4</v>
      </c>
      <c r="C6" s="11">
        <v>4</v>
      </c>
      <c r="D6" s="11">
        <v>5</v>
      </c>
      <c r="E6" s="11">
        <v>4</v>
      </c>
      <c r="F6" s="11">
        <v>4</v>
      </c>
      <c r="G6" s="11">
        <v>4</v>
      </c>
      <c r="H6" s="11">
        <v>4</v>
      </c>
      <c r="I6" s="11">
        <v>3</v>
      </c>
      <c r="J6" s="11">
        <v>4</v>
      </c>
      <c r="K6" s="11">
        <v>4</v>
      </c>
      <c r="L6" s="11">
        <v>4</v>
      </c>
      <c r="M6" s="11">
        <v>4</v>
      </c>
      <c r="N6" s="11">
        <v>4</v>
      </c>
      <c r="O6" s="11">
        <v>4</v>
      </c>
      <c r="P6" s="11">
        <v>4</v>
      </c>
      <c r="Q6" s="11">
        <v>3</v>
      </c>
      <c r="R6" s="11">
        <v>4</v>
      </c>
      <c r="S6" s="11">
        <v>3</v>
      </c>
      <c r="T6" s="11">
        <v>4</v>
      </c>
      <c r="U6" s="11">
        <v>3</v>
      </c>
      <c r="V6" s="11">
        <v>4</v>
      </c>
      <c r="W6" s="11">
        <v>4</v>
      </c>
      <c r="X6" s="11">
        <v>4</v>
      </c>
      <c r="Y6" s="11">
        <v>3</v>
      </c>
      <c r="Z6" s="11">
        <v>4</v>
      </c>
      <c r="AA6" s="11">
        <v>3</v>
      </c>
      <c r="AB6" s="11">
        <v>4</v>
      </c>
      <c r="AC6" s="11">
        <v>4</v>
      </c>
      <c r="AD6" s="11">
        <v>5</v>
      </c>
      <c r="AE6" s="11">
        <v>4</v>
      </c>
    </row>
    <row r="7" spans="1:31" x14ac:dyDescent="0.3">
      <c r="A7" s="11">
        <v>4</v>
      </c>
      <c r="B7" s="11">
        <v>4</v>
      </c>
      <c r="C7" s="11">
        <v>5</v>
      </c>
      <c r="D7" s="11">
        <v>5</v>
      </c>
      <c r="E7" s="11">
        <v>5</v>
      </c>
      <c r="F7" s="11">
        <v>4</v>
      </c>
      <c r="G7" s="11">
        <v>4</v>
      </c>
      <c r="H7" s="11">
        <v>5</v>
      </c>
      <c r="I7" s="11">
        <v>5</v>
      </c>
      <c r="J7" s="11">
        <v>4</v>
      </c>
      <c r="K7" s="11">
        <v>5</v>
      </c>
      <c r="L7" s="11">
        <v>4</v>
      </c>
      <c r="M7" s="11">
        <v>4</v>
      </c>
      <c r="N7" s="11">
        <v>5</v>
      </c>
      <c r="O7" s="11">
        <v>4</v>
      </c>
      <c r="P7" s="11">
        <v>4</v>
      </c>
      <c r="Q7" s="11">
        <v>5</v>
      </c>
      <c r="R7" s="11">
        <v>4</v>
      </c>
      <c r="S7" s="11">
        <v>5</v>
      </c>
      <c r="T7" s="11">
        <v>5</v>
      </c>
      <c r="U7" s="11">
        <v>5</v>
      </c>
      <c r="V7" s="11">
        <v>4</v>
      </c>
      <c r="W7" s="11">
        <v>4</v>
      </c>
      <c r="X7" s="11">
        <v>4</v>
      </c>
      <c r="Y7" s="11">
        <v>4</v>
      </c>
      <c r="Z7" s="11">
        <v>5</v>
      </c>
      <c r="AA7" s="11">
        <v>5</v>
      </c>
      <c r="AB7" s="11">
        <v>4</v>
      </c>
      <c r="AC7" s="11">
        <v>5</v>
      </c>
      <c r="AD7" s="11">
        <v>5</v>
      </c>
      <c r="AE7" s="11">
        <v>5</v>
      </c>
    </row>
    <row r="8" spans="1:31" x14ac:dyDescent="0.3">
      <c r="A8" s="11">
        <v>5</v>
      </c>
      <c r="B8" s="11">
        <v>4</v>
      </c>
      <c r="C8" s="11">
        <v>3</v>
      </c>
      <c r="D8" s="11">
        <v>3</v>
      </c>
      <c r="E8" s="11">
        <v>3</v>
      </c>
      <c r="F8" s="11">
        <v>3</v>
      </c>
      <c r="G8" s="11">
        <v>3</v>
      </c>
      <c r="H8" s="11">
        <v>3</v>
      </c>
      <c r="I8" s="11">
        <v>3</v>
      </c>
      <c r="J8" s="11">
        <v>4</v>
      </c>
      <c r="K8" s="11">
        <v>4</v>
      </c>
      <c r="L8" s="11">
        <v>5</v>
      </c>
      <c r="M8" s="11">
        <v>3</v>
      </c>
      <c r="N8" s="11">
        <v>4</v>
      </c>
      <c r="O8" s="11">
        <v>5</v>
      </c>
      <c r="P8" s="11">
        <v>3</v>
      </c>
      <c r="Q8" s="11">
        <v>4</v>
      </c>
      <c r="R8" s="11">
        <v>4</v>
      </c>
      <c r="S8" s="11">
        <v>5</v>
      </c>
      <c r="T8" s="11">
        <v>4</v>
      </c>
      <c r="U8" s="11">
        <v>4</v>
      </c>
      <c r="V8" s="11">
        <v>4</v>
      </c>
      <c r="W8" s="11">
        <v>4</v>
      </c>
      <c r="X8" s="11">
        <v>4</v>
      </c>
      <c r="Y8" s="11">
        <v>5</v>
      </c>
      <c r="Z8" s="11">
        <v>4</v>
      </c>
      <c r="AA8" s="11">
        <v>5</v>
      </c>
      <c r="AB8" s="11">
        <v>4</v>
      </c>
      <c r="AC8" s="11">
        <v>4</v>
      </c>
      <c r="AD8" s="11">
        <v>5</v>
      </c>
      <c r="AE8" s="11">
        <v>4</v>
      </c>
    </row>
    <row r="9" spans="1:31" x14ac:dyDescent="0.3">
      <c r="A9" s="11">
        <v>6</v>
      </c>
      <c r="B9" s="11">
        <v>3</v>
      </c>
      <c r="C9" s="11">
        <v>3</v>
      </c>
      <c r="D9" s="11">
        <v>3</v>
      </c>
      <c r="E9" s="11">
        <v>4</v>
      </c>
      <c r="F9" s="11">
        <v>3</v>
      </c>
      <c r="G9" s="11">
        <v>4</v>
      </c>
      <c r="H9" s="11">
        <v>3</v>
      </c>
      <c r="I9" s="11">
        <v>3</v>
      </c>
      <c r="J9" s="11">
        <v>3</v>
      </c>
      <c r="K9" s="11">
        <v>4</v>
      </c>
      <c r="L9" s="11">
        <v>4</v>
      </c>
      <c r="M9" s="11">
        <v>4</v>
      </c>
      <c r="N9" s="11">
        <v>4</v>
      </c>
      <c r="O9" s="11">
        <v>4</v>
      </c>
      <c r="P9" s="11">
        <v>4</v>
      </c>
      <c r="Q9" s="11">
        <v>5</v>
      </c>
      <c r="R9" s="11">
        <v>4</v>
      </c>
      <c r="S9" s="11">
        <v>4</v>
      </c>
      <c r="T9" s="11">
        <v>4</v>
      </c>
      <c r="U9" s="11">
        <v>4</v>
      </c>
      <c r="V9" s="11">
        <v>4</v>
      </c>
      <c r="W9" s="11">
        <v>4</v>
      </c>
      <c r="X9" s="11">
        <v>4</v>
      </c>
      <c r="Y9" s="11">
        <v>4</v>
      </c>
      <c r="Z9" s="11">
        <v>4</v>
      </c>
      <c r="AA9" s="11">
        <v>4</v>
      </c>
      <c r="AB9" s="11">
        <v>4</v>
      </c>
      <c r="AC9" s="11">
        <v>3</v>
      </c>
      <c r="AD9" s="11">
        <v>4</v>
      </c>
      <c r="AE9" s="11">
        <v>3</v>
      </c>
    </row>
    <row r="10" spans="1:31" x14ac:dyDescent="0.3">
      <c r="A10" s="11">
        <v>7</v>
      </c>
      <c r="B10" s="11">
        <v>5</v>
      </c>
      <c r="C10" s="11">
        <v>5</v>
      </c>
      <c r="D10" s="11">
        <v>5</v>
      </c>
      <c r="E10" s="11">
        <v>5</v>
      </c>
      <c r="F10" s="11">
        <v>4</v>
      </c>
      <c r="G10" s="11">
        <v>4</v>
      </c>
      <c r="H10" s="11">
        <v>4</v>
      </c>
      <c r="I10" s="11">
        <v>4</v>
      </c>
      <c r="J10" s="11">
        <v>4</v>
      </c>
      <c r="K10" s="11">
        <v>4</v>
      </c>
      <c r="L10" s="11">
        <v>4</v>
      </c>
      <c r="M10" s="11">
        <v>4</v>
      </c>
      <c r="N10" s="11">
        <v>4</v>
      </c>
      <c r="O10" s="11">
        <v>4</v>
      </c>
      <c r="P10" s="11">
        <v>4</v>
      </c>
      <c r="Q10" s="11">
        <v>4</v>
      </c>
      <c r="R10" s="11">
        <v>4</v>
      </c>
      <c r="S10" s="11">
        <v>3</v>
      </c>
      <c r="T10" s="11">
        <v>3</v>
      </c>
      <c r="U10" s="11">
        <v>4</v>
      </c>
      <c r="V10" s="11">
        <v>4</v>
      </c>
      <c r="W10" s="11">
        <v>4</v>
      </c>
      <c r="X10" s="11">
        <v>4</v>
      </c>
      <c r="Y10" s="11">
        <v>4</v>
      </c>
      <c r="Z10" s="11">
        <v>5</v>
      </c>
      <c r="AA10" s="11">
        <v>5</v>
      </c>
      <c r="AB10" s="11">
        <v>5</v>
      </c>
      <c r="AC10" s="11">
        <v>5</v>
      </c>
      <c r="AD10" s="11">
        <v>4</v>
      </c>
      <c r="AE10" s="11">
        <v>5</v>
      </c>
    </row>
    <row r="11" spans="1:31" x14ac:dyDescent="0.3">
      <c r="A11" s="11">
        <v>8</v>
      </c>
      <c r="B11" s="11">
        <v>4</v>
      </c>
      <c r="C11" s="11">
        <v>4</v>
      </c>
      <c r="D11" s="11">
        <v>4</v>
      </c>
      <c r="E11" s="11">
        <v>4</v>
      </c>
      <c r="F11" s="11">
        <v>4</v>
      </c>
      <c r="G11" s="11">
        <v>4</v>
      </c>
      <c r="H11" s="11">
        <v>4</v>
      </c>
      <c r="I11" s="11">
        <v>4</v>
      </c>
      <c r="J11" s="11">
        <v>4</v>
      </c>
      <c r="K11" s="11">
        <v>3</v>
      </c>
      <c r="L11" s="11">
        <v>4</v>
      </c>
      <c r="M11" s="11">
        <v>5</v>
      </c>
      <c r="N11" s="11">
        <v>3</v>
      </c>
      <c r="O11" s="11">
        <v>4</v>
      </c>
      <c r="P11" s="11">
        <v>5</v>
      </c>
      <c r="Q11" s="11">
        <v>4</v>
      </c>
      <c r="R11" s="11">
        <v>4</v>
      </c>
      <c r="S11" s="11">
        <v>4</v>
      </c>
      <c r="T11" s="11">
        <v>4</v>
      </c>
      <c r="U11" s="11">
        <v>4</v>
      </c>
      <c r="V11" s="11">
        <v>4</v>
      </c>
      <c r="W11" s="11">
        <v>4</v>
      </c>
      <c r="X11" s="11">
        <v>3</v>
      </c>
      <c r="Y11" s="11">
        <v>5</v>
      </c>
      <c r="Z11" s="11">
        <v>4</v>
      </c>
      <c r="AA11" s="11">
        <v>5</v>
      </c>
      <c r="AB11" s="11">
        <v>4</v>
      </c>
      <c r="AC11" s="11">
        <v>5</v>
      </c>
      <c r="AD11" s="11">
        <v>5</v>
      </c>
      <c r="AE11" s="11">
        <v>5</v>
      </c>
    </row>
    <row r="12" spans="1:31" x14ac:dyDescent="0.3">
      <c r="A12" s="11">
        <v>9</v>
      </c>
      <c r="B12" s="11">
        <v>3</v>
      </c>
      <c r="C12" s="11">
        <v>4</v>
      </c>
      <c r="D12" s="11">
        <v>4</v>
      </c>
      <c r="E12" s="11">
        <v>4</v>
      </c>
      <c r="F12" s="11">
        <v>3</v>
      </c>
      <c r="G12" s="11">
        <v>3</v>
      </c>
      <c r="H12" s="11">
        <v>3</v>
      </c>
      <c r="I12" s="11">
        <v>3</v>
      </c>
      <c r="J12" s="11">
        <v>4</v>
      </c>
      <c r="K12" s="11">
        <v>3</v>
      </c>
      <c r="L12" s="11">
        <v>3</v>
      </c>
      <c r="M12" s="11">
        <v>3</v>
      </c>
      <c r="N12" s="11">
        <v>3</v>
      </c>
      <c r="O12" s="11">
        <v>3</v>
      </c>
      <c r="P12" s="11">
        <v>3</v>
      </c>
      <c r="Q12" s="11">
        <v>3</v>
      </c>
      <c r="R12" s="11">
        <v>4</v>
      </c>
      <c r="S12" s="11">
        <v>3</v>
      </c>
      <c r="T12" s="11">
        <v>4</v>
      </c>
      <c r="U12" s="11">
        <v>4</v>
      </c>
      <c r="V12" s="11">
        <v>4</v>
      </c>
      <c r="W12" s="11">
        <v>4</v>
      </c>
      <c r="X12" s="11">
        <v>3</v>
      </c>
      <c r="Y12" s="11">
        <v>4</v>
      </c>
      <c r="Z12" s="11">
        <v>3</v>
      </c>
      <c r="AA12" s="11">
        <v>4</v>
      </c>
      <c r="AB12" s="11">
        <v>5</v>
      </c>
      <c r="AC12" s="11">
        <v>3</v>
      </c>
      <c r="AD12" s="11">
        <v>4</v>
      </c>
      <c r="AE12" s="11">
        <v>5</v>
      </c>
    </row>
    <row r="13" spans="1:31" x14ac:dyDescent="0.3">
      <c r="A13" s="11">
        <v>10</v>
      </c>
      <c r="B13" s="11">
        <v>4</v>
      </c>
      <c r="C13" s="11">
        <v>5</v>
      </c>
      <c r="D13" s="11">
        <v>4</v>
      </c>
      <c r="E13" s="11">
        <v>4</v>
      </c>
      <c r="F13" s="11">
        <v>4</v>
      </c>
      <c r="G13" s="11">
        <v>4</v>
      </c>
      <c r="H13" s="11">
        <v>3</v>
      </c>
      <c r="I13" s="11">
        <v>4</v>
      </c>
      <c r="J13" s="11">
        <v>4</v>
      </c>
      <c r="K13" s="11">
        <v>4</v>
      </c>
      <c r="L13" s="11">
        <v>4</v>
      </c>
      <c r="M13" s="11">
        <v>5</v>
      </c>
      <c r="N13" s="11">
        <v>4</v>
      </c>
      <c r="O13" s="11">
        <v>4</v>
      </c>
      <c r="P13" s="11">
        <v>5</v>
      </c>
      <c r="Q13" s="11">
        <v>4</v>
      </c>
      <c r="R13" s="11">
        <v>4</v>
      </c>
      <c r="S13" s="11">
        <v>4</v>
      </c>
      <c r="T13" s="11">
        <v>5</v>
      </c>
      <c r="U13" s="11">
        <v>4</v>
      </c>
      <c r="V13" s="11">
        <v>4</v>
      </c>
      <c r="W13" s="11">
        <v>4</v>
      </c>
      <c r="X13" s="11">
        <v>5</v>
      </c>
      <c r="Y13" s="11">
        <v>4</v>
      </c>
      <c r="Z13" s="11">
        <v>5</v>
      </c>
      <c r="AA13" s="11">
        <v>4</v>
      </c>
      <c r="AB13" s="11">
        <v>5</v>
      </c>
      <c r="AC13" s="11">
        <v>5</v>
      </c>
      <c r="AD13" s="11">
        <v>4</v>
      </c>
      <c r="AE13" s="11">
        <v>5</v>
      </c>
    </row>
    <row r="14" spans="1:31" x14ac:dyDescent="0.3">
      <c r="A14" s="11">
        <v>11</v>
      </c>
      <c r="B14" s="11">
        <v>3</v>
      </c>
      <c r="C14" s="11">
        <v>4</v>
      </c>
      <c r="D14" s="11">
        <v>3</v>
      </c>
      <c r="E14" s="11">
        <v>3</v>
      </c>
      <c r="F14" s="11">
        <v>4</v>
      </c>
      <c r="G14" s="11">
        <v>4</v>
      </c>
      <c r="H14" s="11">
        <v>4</v>
      </c>
      <c r="I14" s="11">
        <v>3</v>
      </c>
      <c r="J14" s="11">
        <v>3</v>
      </c>
      <c r="K14" s="11">
        <v>4</v>
      </c>
      <c r="L14" s="11">
        <v>3</v>
      </c>
      <c r="M14" s="11">
        <v>3</v>
      </c>
      <c r="N14" s="11">
        <v>4</v>
      </c>
      <c r="O14" s="11">
        <v>3</v>
      </c>
      <c r="P14" s="11">
        <v>3</v>
      </c>
      <c r="Q14" s="11">
        <v>3</v>
      </c>
      <c r="R14" s="11">
        <v>3</v>
      </c>
      <c r="S14" s="11">
        <v>3</v>
      </c>
      <c r="T14" s="11">
        <v>3</v>
      </c>
      <c r="U14" s="11">
        <v>4</v>
      </c>
      <c r="V14" s="11">
        <v>4</v>
      </c>
      <c r="W14" s="11">
        <v>4</v>
      </c>
      <c r="X14" s="11">
        <v>3</v>
      </c>
      <c r="Y14" s="11">
        <v>2</v>
      </c>
      <c r="Z14" s="11">
        <v>3</v>
      </c>
      <c r="AA14" s="11">
        <v>4</v>
      </c>
      <c r="AB14" s="11">
        <v>3</v>
      </c>
      <c r="AC14" s="11">
        <v>3</v>
      </c>
      <c r="AD14" s="11">
        <v>4</v>
      </c>
      <c r="AE14" s="11">
        <v>3</v>
      </c>
    </row>
    <row r="15" spans="1:31" x14ac:dyDescent="0.3">
      <c r="A15" s="11">
        <v>12</v>
      </c>
      <c r="B15" s="11">
        <v>4</v>
      </c>
      <c r="C15" s="11">
        <v>4</v>
      </c>
      <c r="D15" s="11">
        <v>3</v>
      </c>
      <c r="E15" s="11">
        <v>4</v>
      </c>
      <c r="F15" s="11">
        <v>4</v>
      </c>
      <c r="G15" s="11">
        <v>3</v>
      </c>
      <c r="H15" s="11">
        <v>3</v>
      </c>
      <c r="I15" s="11">
        <v>3</v>
      </c>
      <c r="J15" s="11">
        <v>4</v>
      </c>
      <c r="K15" s="11">
        <v>3</v>
      </c>
      <c r="L15" s="11">
        <v>3</v>
      </c>
      <c r="M15" s="11">
        <v>3</v>
      </c>
      <c r="N15" s="11">
        <v>3</v>
      </c>
      <c r="O15" s="11">
        <v>3</v>
      </c>
      <c r="P15" s="11">
        <v>3</v>
      </c>
      <c r="Q15" s="11">
        <v>3</v>
      </c>
      <c r="R15" s="11">
        <v>3</v>
      </c>
      <c r="S15" s="11">
        <v>3</v>
      </c>
      <c r="T15" s="11">
        <v>4</v>
      </c>
      <c r="U15" s="11">
        <v>4</v>
      </c>
      <c r="V15" s="11">
        <v>4</v>
      </c>
      <c r="W15" s="11">
        <v>2</v>
      </c>
      <c r="X15" s="11">
        <v>4</v>
      </c>
      <c r="Y15" s="11">
        <v>4</v>
      </c>
      <c r="Z15" s="11">
        <v>4</v>
      </c>
      <c r="AA15" s="11">
        <v>4</v>
      </c>
      <c r="AB15" s="11">
        <v>4</v>
      </c>
      <c r="AC15" s="11">
        <v>4</v>
      </c>
      <c r="AD15" s="11">
        <v>4</v>
      </c>
      <c r="AE15" s="11">
        <v>3</v>
      </c>
    </row>
    <row r="16" spans="1:31" x14ac:dyDescent="0.3">
      <c r="A16" s="11">
        <v>13</v>
      </c>
      <c r="B16" s="11">
        <v>4</v>
      </c>
      <c r="C16" s="11">
        <v>4</v>
      </c>
      <c r="D16" s="11">
        <v>2</v>
      </c>
      <c r="E16" s="11">
        <v>4</v>
      </c>
      <c r="F16" s="11">
        <v>4</v>
      </c>
      <c r="G16" s="11">
        <v>3</v>
      </c>
      <c r="H16" s="11">
        <v>3</v>
      </c>
      <c r="I16" s="11">
        <v>4</v>
      </c>
      <c r="J16" s="11">
        <v>4</v>
      </c>
      <c r="K16" s="11">
        <v>4</v>
      </c>
      <c r="L16" s="11">
        <v>4</v>
      </c>
      <c r="M16" s="11">
        <v>4</v>
      </c>
      <c r="N16" s="11">
        <v>4</v>
      </c>
      <c r="O16" s="11">
        <v>4</v>
      </c>
      <c r="P16" s="11">
        <v>4</v>
      </c>
      <c r="Q16" s="11">
        <v>4</v>
      </c>
      <c r="R16" s="11">
        <v>4</v>
      </c>
      <c r="S16" s="11">
        <v>4</v>
      </c>
      <c r="T16" s="11">
        <v>3</v>
      </c>
      <c r="U16" s="11">
        <v>3</v>
      </c>
      <c r="V16" s="11">
        <v>4</v>
      </c>
      <c r="W16" s="11">
        <v>4</v>
      </c>
      <c r="X16" s="11">
        <v>4</v>
      </c>
      <c r="Y16" s="11">
        <v>3</v>
      </c>
      <c r="Z16" s="11">
        <v>4</v>
      </c>
      <c r="AA16" s="11">
        <v>4</v>
      </c>
      <c r="AB16" s="11">
        <v>5</v>
      </c>
      <c r="AC16" s="11">
        <v>4</v>
      </c>
      <c r="AD16" s="11">
        <v>4</v>
      </c>
      <c r="AE16" s="11">
        <v>4</v>
      </c>
    </row>
    <row r="17" spans="1:31" x14ac:dyDescent="0.3">
      <c r="A17" s="11">
        <v>14</v>
      </c>
      <c r="B17" s="11">
        <v>2</v>
      </c>
      <c r="C17" s="11">
        <v>3</v>
      </c>
      <c r="D17" s="11">
        <v>2</v>
      </c>
      <c r="E17" s="11">
        <v>3</v>
      </c>
      <c r="F17" s="11">
        <v>3</v>
      </c>
      <c r="G17" s="11">
        <v>3</v>
      </c>
      <c r="H17" s="11">
        <v>3</v>
      </c>
      <c r="I17" s="11">
        <v>2</v>
      </c>
      <c r="J17" s="11">
        <v>3</v>
      </c>
      <c r="K17" s="11">
        <v>2</v>
      </c>
      <c r="L17" s="11">
        <v>2</v>
      </c>
      <c r="M17" s="11">
        <v>3</v>
      </c>
      <c r="N17" s="11">
        <v>2</v>
      </c>
      <c r="O17" s="11">
        <v>2</v>
      </c>
      <c r="P17" s="11">
        <v>3</v>
      </c>
      <c r="Q17" s="11">
        <v>3</v>
      </c>
      <c r="R17" s="11">
        <v>3</v>
      </c>
      <c r="S17" s="11">
        <v>3</v>
      </c>
      <c r="T17" s="11">
        <v>3</v>
      </c>
      <c r="U17" s="11">
        <v>3</v>
      </c>
      <c r="V17" s="11">
        <v>2</v>
      </c>
      <c r="W17" s="11">
        <v>2</v>
      </c>
      <c r="X17" s="11">
        <v>3</v>
      </c>
      <c r="Y17" s="11">
        <v>2</v>
      </c>
      <c r="Z17" s="11">
        <v>4</v>
      </c>
      <c r="AA17" s="11">
        <v>3</v>
      </c>
      <c r="AB17" s="11">
        <v>4</v>
      </c>
      <c r="AC17" s="11">
        <v>3</v>
      </c>
      <c r="AD17" s="11">
        <v>5</v>
      </c>
      <c r="AE17" s="11">
        <v>3</v>
      </c>
    </row>
    <row r="18" spans="1:31" x14ac:dyDescent="0.3">
      <c r="A18" s="11">
        <v>15</v>
      </c>
      <c r="B18" s="11">
        <v>3</v>
      </c>
      <c r="C18" s="11">
        <v>3</v>
      </c>
      <c r="D18" s="11">
        <v>3</v>
      </c>
      <c r="E18" s="11">
        <v>3</v>
      </c>
      <c r="F18" s="11">
        <v>3</v>
      </c>
      <c r="G18" s="11">
        <v>3</v>
      </c>
      <c r="H18" s="11">
        <v>3</v>
      </c>
      <c r="I18" s="11">
        <v>3</v>
      </c>
      <c r="J18" s="11">
        <v>3</v>
      </c>
      <c r="K18" s="11">
        <v>4</v>
      </c>
      <c r="L18" s="11">
        <v>2</v>
      </c>
      <c r="M18" s="11">
        <v>3</v>
      </c>
      <c r="N18" s="11">
        <v>4</v>
      </c>
      <c r="O18" s="11">
        <v>2</v>
      </c>
      <c r="P18" s="11">
        <v>3</v>
      </c>
      <c r="Q18" s="11">
        <v>4</v>
      </c>
      <c r="R18" s="11">
        <v>4</v>
      </c>
      <c r="S18" s="11">
        <v>3</v>
      </c>
      <c r="T18" s="11">
        <v>3</v>
      </c>
      <c r="U18" s="11">
        <v>3</v>
      </c>
      <c r="V18" s="11">
        <v>4</v>
      </c>
      <c r="W18" s="11">
        <v>3</v>
      </c>
      <c r="X18" s="11">
        <v>4</v>
      </c>
      <c r="Y18" s="11">
        <v>4</v>
      </c>
      <c r="Z18" s="11">
        <v>3</v>
      </c>
      <c r="AA18" s="11">
        <v>4</v>
      </c>
      <c r="AB18" s="11">
        <v>4</v>
      </c>
      <c r="AC18" s="11">
        <v>4</v>
      </c>
      <c r="AD18" s="11">
        <v>3</v>
      </c>
      <c r="AE18" s="11">
        <v>3</v>
      </c>
    </row>
    <row r="19" spans="1:31" x14ac:dyDescent="0.3">
      <c r="A19" s="11">
        <v>16</v>
      </c>
      <c r="B19" s="11">
        <v>3</v>
      </c>
      <c r="C19" s="11">
        <v>4</v>
      </c>
      <c r="D19" s="11">
        <v>3</v>
      </c>
      <c r="E19" s="11">
        <v>3</v>
      </c>
      <c r="F19" s="11">
        <v>3</v>
      </c>
      <c r="G19" s="11">
        <v>3</v>
      </c>
      <c r="H19" s="11">
        <v>3</v>
      </c>
      <c r="I19" s="11">
        <v>4</v>
      </c>
      <c r="J19" s="11">
        <v>3</v>
      </c>
      <c r="K19" s="11">
        <v>3</v>
      </c>
      <c r="L19" s="11">
        <v>3</v>
      </c>
      <c r="M19" s="11">
        <v>4</v>
      </c>
      <c r="N19" s="11">
        <v>3</v>
      </c>
      <c r="O19" s="11">
        <v>3</v>
      </c>
      <c r="P19" s="11">
        <v>4</v>
      </c>
      <c r="Q19" s="11">
        <v>4</v>
      </c>
      <c r="R19" s="11">
        <v>3</v>
      </c>
      <c r="S19" s="11">
        <v>4</v>
      </c>
      <c r="T19" s="11">
        <v>4</v>
      </c>
      <c r="U19" s="11">
        <v>5</v>
      </c>
      <c r="V19" s="11">
        <v>4</v>
      </c>
      <c r="W19" s="11">
        <v>4</v>
      </c>
      <c r="X19" s="11">
        <v>4</v>
      </c>
      <c r="Y19" s="11">
        <v>5</v>
      </c>
      <c r="Z19" s="11">
        <v>5</v>
      </c>
      <c r="AA19" s="11">
        <v>4</v>
      </c>
      <c r="AB19" s="11">
        <v>4</v>
      </c>
      <c r="AC19" s="11">
        <v>4</v>
      </c>
      <c r="AD19" s="11">
        <v>5</v>
      </c>
      <c r="AE19" s="11">
        <v>5</v>
      </c>
    </row>
    <row r="20" spans="1:31" x14ac:dyDescent="0.3">
      <c r="A20" s="11">
        <v>17</v>
      </c>
      <c r="B20" s="11">
        <v>3</v>
      </c>
      <c r="C20" s="11">
        <v>3</v>
      </c>
      <c r="D20" s="11">
        <v>4</v>
      </c>
      <c r="E20" s="11">
        <v>3</v>
      </c>
      <c r="F20" s="11">
        <v>3</v>
      </c>
      <c r="G20" s="11">
        <v>4</v>
      </c>
      <c r="H20" s="11">
        <v>3</v>
      </c>
      <c r="I20" s="11">
        <v>3</v>
      </c>
      <c r="J20" s="11">
        <v>2</v>
      </c>
      <c r="K20" s="11">
        <v>3</v>
      </c>
      <c r="L20" s="11">
        <v>3</v>
      </c>
      <c r="M20" s="11">
        <v>3</v>
      </c>
      <c r="N20" s="11">
        <v>3</v>
      </c>
      <c r="O20" s="11">
        <v>3</v>
      </c>
      <c r="P20" s="11">
        <v>3</v>
      </c>
      <c r="Q20" s="11">
        <v>3</v>
      </c>
      <c r="R20" s="11">
        <v>3</v>
      </c>
      <c r="S20" s="11">
        <v>3</v>
      </c>
      <c r="T20" s="11">
        <v>4</v>
      </c>
      <c r="U20" s="11">
        <v>3</v>
      </c>
      <c r="V20" s="11">
        <v>3</v>
      </c>
      <c r="W20" s="11">
        <v>3</v>
      </c>
      <c r="X20" s="11">
        <v>4</v>
      </c>
      <c r="Y20" s="11">
        <v>4</v>
      </c>
      <c r="Z20" s="11">
        <v>3</v>
      </c>
      <c r="AA20" s="11">
        <v>4</v>
      </c>
      <c r="AB20" s="11">
        <v>3</v>
      </c>
      <c r="AC20" s="11">
        <v>4</v>
      </c>
      <c r="AD20" s="11">
        <v>4</v>
      </c>
      <c r="AE20" s="11">
        <v>5</v>
      </c>
    </row>
    <row r="21" spans="1:31" x14ac:dyDescent="0.3">
      <c r="A21" s="11">
        <v>18</v>
      </c>
      <c r="B21" s="11">
        <v>5</v>
      </c>
      <c r="C21" s="11">
        <v>4</v>
      </c>
      <c r="D21" s="11">
        <v>3</v>
      </c>
      <c r="E21" s="11">
        <v>4</v>
      </c>
      <c r="F21" s="11">
        <v>4</v>
      </c>
      <c r="G21" s="11">
        <v>4</v>
      </c>
      <c r="H21" s="11">
        <v>4</v>
      </c>
      <c r="I21" s="11">
        <v>3</v>
      </c>
      <c r="J21" s="11">
        <v>3</v>
      </c>
      <c r="K21" s="11">
        <v>4</v>
      </c>
      <c r="L21" s="11">
        <v>4</v>
      </c>
      <c r="M21" s="11">
        <v>4</v>
      </c>
      <c r="N21" s="11">
        <v>4</v>
      </c>
      <c r="O21" s="11">
        <v>4</v>
      </c>
      <c r="P21" s="11">
        <v>4</v>
      </c>
      <c r="Q21" s="11">
        <v>5</v>
      </c>
      <c r="R21" s="11">
        <v>5</v>
      </c>
      <c r="S21" s="11">
        <v>4</v>
      </c>
      <c r="T21" s="11">
        <v>4</v>
      </c>
      <c r="U21" s="11">
        <v>5</v>
      </c>
      <c r="V21" s="11">
        <v>4</v>
      </c>
      <c r="W21" s="11">
        <v>5</v>
      </c>
      <c r="X21" s="11">
        <v>4</v>
      </c>
      <c r="Y21" s="11">
        <v>4</v>
      </c>
      <c r="Z21" s="11">
        <v>4</v>
      </c>
      <c r="AA21" s="11">
        <v>4</v>
      </c>
      <c r="AB21" s="11">
        <v>4</v>
      </c>
      <c r="AC21" s="11">
        <v>4</v>
      </c>
      <c r="AD21" s="11">
        <v>4</v>
      </c>
      <c r="AE21" s="11">
        <v>4</v>
      </c>
    </row>
    <row r="22" spans="1:31" x14ac:dyDescent="0.3">
      <c r="A22" s="11">
        <v>19</v>
      </c>
      <c r="B22" s="11">
        <v>3</v>
      </c>
      <c r="C22" s="11">
        <v>3</v>
      </c>
      <c r="D22" s="11">
        <v>3</v>
      </c>
      <c r="E22" s="11">
        <v>3</v>
      </c>
      <c r="F22" s="11">
        <v>3</v>
      </c>
      <c r="G22" s="11">
        <v>4</v>
      </c>
      <c r="H22" s="11">
        <v>3</v>
      </c>
      <c r="I22" s="11">
        <v>3</v>
      </c>
      <c r="J22" s="11">
        <v>2</v>
      </c>
      <c r="K22" s="11">
        <v>3</v>
      </c>
      <c r="L22" s="11">
        <v>2</v>
      </c>
      <c r="M22" s="11">
        <v>3</v>
      </c>
      <c r="N22" s="11">
        <v>3</v>
      </c>
      <c r="O22" s="11">
        <v>2</v>
      </c>
      <c r="P22" s="11">
        <v>3</v>
      </c>
      <c r="Q22" s="11">
        <v>3</v>
      </c>
      <c r="R22" s="11">
        <v>4</v>
      </c>
      <c r="S22" s="11">
        <v>4</v>
      </c>
      <c r="T22" s="11">
        <v>3</v>
      </c>
      <c r="U22" s="11">
        <v>4</v>
      </c>
      <c r="V22" s="11">
        <v>3</v>
      </c>
      <c r="W22" s="11">
        <v>3</v>
      </c>
      <c r="X22" s="11">
        <v>4</v>
      </c>
      <c r="Y22" s="11">
        <v>4</v>
      </c>
      <c r="Z22" s="11">
        <v>4</v>
      </c>
      <c r="AA22" s="11">
        <v>4</v>
      </c>
      <c r="AB22" s="11">
        <v>4</v>
      </c>
      <c r="AC22" s="11">
        <v>4</v>
      </c>
      <c r="AD22" s="11">
        <v>5</v>
      </c>
      <c r="AE22" s="11">
        <v>4</v>
      </c>
    </row>
    <row r="23" spans="1:31" x14ac:dyDescent="0.3">
      <c r="A23" s="11">
        <v>20</v>
      </c>
      <c r="B23" s="11">
        <v>3</v>
      </c>
      <c r="C23" s="11">
        <v>3</v>
      </c>
      <c r="D23" s="11">
        <v>3</v>
      </c>
      <c r="E23" s="11">
        <v>3</v>
      </c>
      <c r="F23" s="11">
        <v>3</v>
      </c>
      <c r="G23" s="11">
        <v>3</v>
      </c>
      <c r="H23" s="11">
        <v>3</v>
      </c>
      <c r="I23" s="11">
        <v>3</v>
      </c>
      <c r="J23" s="11">
        <v>3</v>
      </c>
      <c r="K23" s="11">
        <v>3</v>
      </c>
      <c r="L23" s="11">
        <v>3</v>
      </c>
      <c r="M23" s="11">
        <v>3</v>
      </c>
      <c r="N23" s="11">
        <v>3</v>
      </c>
      <c r="O23" s="11">
        <v>3</v>
      </c>
      <c r="P23" s="11">
        <v>3</v>
      </c>
      <c r="Q23" s="11">
        <v>4</v>
      </c>
      <c r="R23" s="11">
        <v>3</v>
      </c>
      <c r="S23" s="11">
        <v>4</v>
      </c>
      <c r="T23" s="11">
        <v>3</v>
      </c>
      <c r="U23" s="11">
        <v>2</v>
      </c>
      <c r="V23" s="11">
        <v>3</v>
      </c>
      <c r="W23" s="11">
        <v>3</v>
      </c>
      <c r="X23" s="11">
        <v>3</v>
      </c>
      <c r="Y23" s="11">
        <v>3</v>
      </c>
      <c r="Z23" s="11">
        <v>5</v>
      </c>
      <c r="AA23" s="11">
        <v>4</v>
      </c>
      <c r="AB23" s="11">
        <v>4</v>
      </c>
      <c r="AC23" s="11">
        <v>3</v>
      </c>
      <c r="AD23" s="11">
        <v>4</v>
      </c>
      <c r="AE23" s="11">
        <v>4</v>
      </c>
    </row>
    <row r="24" spans="1:31" x14ac:dyDescent="0.3">
      <c r="A24" s="11">
        <v>21</v>
      </c>
      <c r="B24" s="11">
        <v>4</v>
      </c>
      <c r="C24" s="11">
        <v>5</v>
      </c>
      <c r="D24" s="11">
        <v>5</v>
      </c>
      <c r="E24" s="11">
        <v>4</v>
      </c>
      <c r="F24" s="11">
        <v>4</v>
      </c>
      <c r="G24" s="11">
        <v>5</v>
      </c>
      <c r="H24" s="11">
        <v>4</v>
      </c>
      <c r="I24" s="11">
        <v>4</v>
      </c>
      <c r="J24" s="11">
        <v>4</v>
      </c>
      <c r="K24" s="11">
        <v>4</v>
      </c>
      <c r="L24" s="11">
        <v>5</v>
      </c>
      <c r="M24" s="11">
        <v>4</v>
      </c>
      <c r="N24" s="11">
        <v>4</v>
      </c>
      <c r="O24" s="11">
        <v>5</v>
      </c>
      <c r="P24" s="11">
        <v>4</v>
      </c>
      <c r="Q24" s="11">
        <v>5</v>
      </c>
      <c r="R24" s="11">
        <v>4</v>
      </c>
      <c r="S24" s="11">
        <v>4</v>
      </c>
      <c r="T24" s="11">
        <v>5</v>
      </c>
      <c r="U24" s="11">
        <v>4</v>
      </c>
      <c r="V24" s="11">
        <v>4</v>
      </c>
      <c r="W24" s="11">
        <v>4</v>
      </c>
      <c r="X24" s="11">
        <v>5</v>
      </c>
      <c r="Y24" s="11">
        <v>5</v>
      </c>
      <c r="Z24" s="11">
        <v>4</v>
      </c>
      <c r="AA24" s="11">
        <v>5</v>
      </c>
      <c r="AB24" s="11">
        <v>5</v>
      </c>
      <c r="AC24" s="11">
        <v>5</v>
      </c>
      <c r="AD24" s="11">
        <v>5</v>
      </c>
      <c r="AE24" s="11">
        <v>5</v>
      </c>
    </row>
    <row r="25" spans="1:31" x14ac:dyDescent="0.3">
      <c r="A25" s="11">
        <v>22</v>
      </c>
      <c r="B25" s="11">
        <v>3</v>
      </c>
      <c r="C25" s="11">
        <v>3</v>
      </c>
      <c r="D25" s="11">
        <v>3</v>
      </c>
      <c r="E25" s="11">
        <v>4</v>
      </c>
      <c r="F25" s="11">
        <v>4</v>
      </c>
      <c r="G25" s="11">
        <v>4</v>
      </c>
      <c r="H25" s="11">
        <v>3</v>
      </c>
      <c r="I25" s="11">
        <v>4</v>
      </c>
      <c r="J25" s="11">
        <v>4</v>
      </c>
      <c r="K25" s="11">
        <v>4</v>
      </c>
      <c r="L25" s="11">
        <v>3</v>
      </c>
      <c r="M25" s="11">
        <v>3</v>
      </c>
      <c r="N25" s="11">
        <v>4</v>
      </c>
      <c r="O25" s="11">
        <v>3</v>
      </c>
      <c r="P25" s="11">
        <v>3</v>
      </c>
      <c r="Q25" s="11">
        <v>4</v>
      </c>
      <c r="R25" s="11">
        <v>5</v>
      </c>
      <c r="S25" s="11">
        <v>4</v>
      </c>
      <c r="T25" s="11">
        <v>4</v>
      </c>
      <c r="U25" s="11">
        <v>4</v>
      </c>
      <c r="V25" s="11">
        <v>4</v>
      </c>
      <c r="W25" s="11">
        <v>4</v>
      </c>
      <c r="X25" s="11">
        <v>5</v>
      </c>
      <c r="Y25" s="11">
        <v>4</v>
      </c>
      <c r="Z25" s="11">
        <v>4</v>
      </c>
      <c r="AA25" s="11">
        <v>4</v>
      </c>
      <c r="AB25" s="11">
        <v>4</v>
      </c>
      <c r="AC25" s="11">
        <v>5</v>
      </c>
      <c r="AD25" s="11">
        <v>5</v>
      </c>
      <c r="AE25" s="11">
        <v>4</v>
      </c>
    </row>
    <row r="26" spans="1:31" x14ac:dyDescent="0.3">
      <c r="A26" s="11">
        <v>23</v>
      </c>
      <c r="B26" s="11">
        <v>4</v>
      </c>
      <c r="C26" s="11">
        <v>4</v>
      </c>
      <c r="D26" s="11">
        <v>4</v>
      </c>
      <c r="E26" s="11">
        <v>3</v>
      </c>
      <c r="F26" s="11">
        <v>4</v>
      </c>
      <c r="G26" s="11">
        <v>4</v>
      </c>
      <c r="H26" s="11">
        <v>3</v>
      </c>
      <c r="I26" s="11">
        <v>3</v>
      </c>
      <c r="J26" s="11">
        <v>4</v>
      </c>
      <c r="K26" s="11">
        <v>4</v>
      </c>
      <c r="L26" s="11">
        <v>3</v>
      </c>
      <c r="M26" s="11">
        <v>3</v>
      </c>
      <c r="N26" s="11">
        <v>4</v>
      </c>
      <c r="O26" s="11">
        <v>3</v>
      </c>
      <c r="P26" s="11">
        <v>3</v>
      </c>
      <c r="Q26" s="11">
        <v>4</v>
      </c>
      <c r="R26" s="11">
        <v>5</v>
      </c>
      <c r="S26" s="11">
        <v>3</v>
      </c>
      <c r="T26" s="11">
        <v>4</v>
      </c>
      <c r="U26" s="11">
        <v>4</v>
      </c>
      <c r="V26" s="11">
        <v>4</v>
      </c>
      <c r="W26" s="11">
        <v>4</v>
      </c>
      <c r="X26" s="11">
        <v>4</v>
      </c>
      <c r="Y26" s="11">
        <v>4</v>
      </c>
      <c r="Z26" s="11">
        <v>5</v>
      </c>
      <c r="AA26" s="11">
        <v>4</v>
      </c>
      <c r="AB26" s="11">
        <v>4</v>
      </c>
      <c r="AC26" s="11">
        <v>4</v>
      </c>
      <c r="AD26" s="11">
        <v>4</v>
      </c>
      <c r="AE26" s="11">
        <v>4</v>
      </c>
    </row>
    <row r="27" spans="1:31" x14ac:dyDescent="0.3">
      <c r="A27" s="11">
        <v>24</v>
      </c>
      <c r="B27" s="11">
        <v>3</v>
      </c>
      <c r="C27" s="11">
        <v>2</v>
      </c>
      <c r="D27" s="11">
        <v>3</v>
      </c>
      <c r="E27" s="11">
        <v>4</v>
      </c>
      <c r="F27" s="11">
        <v>3</v>
      </c>
      <c r="G27" s="11">
        <v>3</v>
      </c>
      <c r="H27" s="11">
        <v>3</v>
      </c>
      <c r="I27" s="11">
        <v>3</v>
      </c>
      <c r="J27" s="11">
        <v>3</v>
      </c>
      <c r="K27" s="11">
        <v>3</v>
      </c>
      <c r="L27" s="11">
        <v>3</v>
      </c>
      <c r="M27" s="11">
        <v>3</v>
      </c>
      <c r="N27" s="11">
        <v>3</v>
      </c>
      <c r="O27" s="11">
        <v>3</v>
      </c>
      <c r="P27" s="11">
        <v>3</v>
      </c>
      <c r="Q27" s="11">
        <v>4</v>
      </c>
      <c r="R27" s="11">
        <v>4</v>
      </c>
      <c r="S27" s="11">
        <v>4</v>
      </c>
      <c r="T27" s="11">
        <v>4</v>
      </c>
      <c r="U27" s="11">
        <v>4</v>
      </c>
      <c r="V27" s="11">
        <v>5</v>
      </c>
      <c r="W27" s="11">
        <v>3</v>
      </c>
      <c r="X27" s="11">
        <v>3</v>
      </c>
      <c r="Y27" s="11">
        <v>4</v>
      </c>
      <c r="Z27" s="11">
        <v>4</v>
      </c>
      <c r="AA27" s="11">
        <v>3</v>
      </c>
      <c r="AB27" s="11">
        <v>4</v>
      </c>
      <c r="AC27" s="11">
        <v>3</v>
      </c>
      <c r="AD27" s="11">
        <v>3</v>
      </c>
      <c r="AE27" s="11">
        <v>3</v>
      </c>
    </row>
    <row r="28" spans="1:31" x14ac:dyDescent="0.3">
      <c r="A28" s="11">
        <v>25</v>
      </c>
      <c r="B28" s="11">
        <v>3</v>
      </c>
      <c r="C28" s="11">
        <v>3</v>
      </c>
      <c r="D28" s="11">
        <v>3</v>
      </c>
      <c r="E28" s="11">
        <v>3</v>
      </c>
      <c r="F28" s="11">
        <v>4</v>
      </c>
      <c r="G28" s="11">
        <v>4</v>
      </c>
      <c r="H28" s="11">
        <v>4</v>
      </c>
      <c r="I28" s="11">
        <v>3</v>
      </c>
      <c r="J28" s="11">
        <v>4</v>
      </c>
      <c r="K28" s="11">
        <v>4</v>
      </c>
      <c r="L28" s="11">
        <v>3</v>
      </c>
      <c r="M28" s="11">
        <v>3</v>
      </c>
      <c r="N28" s="11">
        <v>4</v>
      </c>
      <c r="O28" s="11">
        <v>3</v>
      </c>
      <c r="P28" s="11">
        <v>3</v>
      </c>
      <c r="Q28" s="11">
        <v>3</v>
      </c>
      <c r="R28" s="11">
        <v>2</v>
      </c>
      <c r="S28" s="11">
        <v>2</v>
      </c>
      <c r="T28" s="11">
        <v>3</v>
      </c>
      <c r="U28" s="11">
        <v>2</v>
      </c>
      <c r="V28" s="11">
        <v>3</v>
      </c>
      <c r="W28" s="11">
        <v>3</v>
      </c>
      <c r="X28" s="11">
        <v>3</v>
      </c>
      <c r="Y28" s="11">
        <v>2</v>
      </c>
      <c r="Z28" s="11">
        <v>3</v>
      </c>
      <c r="AA28" s="11">
        <v>4</v>
      </c>
      <c r="AB28" s="11">
        <v>4</v>
      </c>
      <c r="AC28" s="11">
        <v>4</v>
      </c>
      <c r="AD28" s="11">
        <v>3</v>
      </c>
      <c r="AE28" s="11">
        <v>3</v>
      </c>
    </row>
    <row r="29" spans="1:31" x14ac:dyDescent="0.3">
      <c r="A29" s="11">
        <v>26</v>
      </c>
      <c r="B29" s="11">
        <v>4</v>
      </c>
      <c r="C29" s="11">
        <v>4</v>
      </c>
      <c r="D29" s="11">
        <v>4</v>
      </c>
      <c r="E29" s="11">
        <v>3</v>
      </c>
      <c r="F29" s="11">
        <v>3</v>
      </c>
      <c r="G29" s="11">
        <v>4</v>
      </c>
      <c r="H29" s="11">
        <v>4</v>
      </c>
      <c r="I29" s="11">
        <v>3</v>
      </c>
      <c r="J29" s="11">
        <v>3</v>
      </c>
      <c r="K29" s="11">
        <v>3</v>
      </c>
      <c r="L29" s="11">
        <v>3</v>
      </c>
      <c r="M29" s="11">
        <v>4</v>
      </c>
      <c r="N29" s="11">
        <v>3</v>
      </c>
      <c r="O29" s="11">
        <v>3</v>
      </c>
      <c r="P29" s="11">
        <v>4</v>
      </c>
      <c r="Q29" s="11">
        <v>3</v>
      </c>
      <c r="R29" s="11">
        <v>5</v>
      </c>
      <c r="S29" s="11">
        <v>5</v>
      </c>
      <c r="T29" s="11">
        <v>3</v>
      </c>
      <c r="U29" s="11">
        <v>3</v>
      </c>
      <c r="V29" s="11">
        <v>4</v>
      </c>
      <c r="W29" s="11">
        <v>4</v>
      </c>
      <c r="X29" s="11">
        <v>4</v>
      </c>
      <c r="Y29" s="11">
        <v>4</v>
      </c>
      <c r="Z29" s="11">
        <v>5</v>
      </c>
      <c r="AA29" s="11">
        <v>5</v>
      </c>
      <c r="AB29" s="11">
        <v>4</v>
      </c>
      <c r="AC29" s="11">
        <v>5</v>
      </c>
      <c r="AD29" s="11">
        <v>4</v>
      </c>
      <c r="AE29" s="11">
        <v>5</v>
      </c>
    </row>
    <row r="30" spans="1:31" x14ac:dyDescent="0.3">
      <c r="A30" s="11">
        <v>27</v>
      </c>
      <c r="B30" s="11">
        <v>3</v>
      </c>
      <c r="C30" s="11">
        <v>3</v>
      </c>
      <c r="D30" s="11">
        <v>3</v>
      </c>
      <c r="E30" s="11">
        <v>3</v>
      </c>
      <c r="F30" s="11">
        <v>3</v>
      </c>
      <c r="G30" s="11">
        <v>3</v>
      </c>
      <c r="H30" s="11">
        <v>3</v>
      </c>
      <c r="I30" s="11">
        <v>2</v>
      </c>
      <c r="J30" s="11">
        <v>3</v>
      </c>
      <c r="K30" s="11">
        <v>3</v>
      </c>
      <c r="L30" s="11">
        <v>3</v>
      </c>
      <c r="M30" s="11">
        <v>3</v>
      </c>
      <c r="N30" s="11">
        <v>3</v>
      </c>
      <c r="O30" s="11">
        <v>3</v>
      </c>
      <c r="P30" s="11">
        <v>3</v>
      </c>
      <c r="Q30" s="11">
        <v>3</v>
      </c>
      <c r="R30" s="11">
        <v>4</v>
      </c>
      <c r="S30" s="11">
        <v>3</v>
      </c>
      <c r="T30" s="11">
        <v>3</v>
      </c>
      <c r="U30" s="11">
        <v>3</v>
      </c>
      <c r="V30" s="11">
        <v>3</v>
      </c>
      <c r="W30" s="11">
        <v>3</v>
      </c>
      <c r="X30" s="11">
        <v>3</v>
      </c>
      <c r="Y30" s="11">
        <v>3</v>
      </c>
      <c r="Z30" s="11">
        <v>3</v>
      </c>
      <c r="AA30" s="11">
        <v>5</v>
      </c>
      <c r="AB30" s="11">
        <v>3</v>
      </c>
      <c r="AC30" s="11">
        <v>3</v>
      </c>
      <c r="AD30" s="11">
        <v>4</v>
      </c>
      <c r="AE30" s="11">
        <v>3</v>
      </c>
    </row>
    <row r="31" spans="1:31" x14ac:dyDescent="0.3">
      <c r="A31" s="11">
        <v>28</v>
      </c>
      <c r="B31" s="11">
        <v>4</v>
      </c>
      <c r="C31" s="11">
        <v>3</v>
      </c>
      <c r="D31" s="11">
        <v>4</v>
      </c>
      <c r="E31" s="11">
        <v>4</v>
      </c>
      <c r="F31" s="11">
        <v>4</v>
      </c>
      <c r="G31" s="11">
        <v>4</v>
      </c>
      <c r="H31" s="11">
        <v>4</v>
      </c>
      <c r="I31" s="11">
        <v>4</v>
      </c>
      <c r="J31" s="11">
        <v>4</v>
      </c>
      <c r="K31" s="11">
        <v>4</v>
      </c>
      <c r="L31" s="11">
        <v>4</v>
      </c>
      <c r="M31" s="11">
        <v>4</v>
      </c>
      <c r="N31" s="11">
        <v>4</v>
      </c>
      <c r="O31" s="11">
        <v>4</v>
      </c>
      <c r="P31" s="11">
        <v>4</v>
      </c>
      <c r="Q31" s="11">
        <v>4</v>
      </c>
      <c r="R31" s="11">
        <v>3</v>
      </c>
      <c r="S31" s="11">
        <v>4</v>
      </c>
      <c r="T31" s="11">
        <v>4</v>
      </c>
      <c r="U31" s="11">
        <v>3</v>
      </c>
      <c r="V31" s="11">
        <v>4</v>
      </c>
      <c r="W31" s="11">
        <v>3</v>
      </c>
      <c r="X31" s="11">
        <v>3</v>
      </c>
      <c r="Y31" s="11">
        <v>4</v>
      </c>
      <c r="Z31" s="11">
        <v>4</v>
      </c>
      <c r="AA31" s="11">
        <v>4</v>
      </c>
      <c r="AB31" s="11">
        <v>4</v>
      </c>
      <c r="AC31" s="11">
        <v>4</v>
      </c>
      <c r="AD31" s="11">
        <v>3</v>
      </c>
      <c r="AE31" s="11">
        <v>4</v>
      </c>
    </row>
    <row r="32" spans="1:31" x14ac:dyDescent="0.3">
      <c r="A32" s="11">
        <v>29</v>
      </c>
      <c r="B32" s="11">
        <v>3</v>
      </c>
      <c r="C32" s="11">
        <v>3</v>
      </c>
      <c r="D32" s="11">
        <v>3</v>
      </c>
      <c r="E32" s="11">
        <v>4</v>
      </c>
      <c r="F32" s="11">
        <v>4</v>
      </c>
      <c r="G32" s="11">
        <v>4</v>
      </c>
      <c r="H32" s="11">
        <v>5</v>
      </c>
      <c r="I32" s="11">
        <v>3</v>
      </c>
      <c r="J32" s="11">
        <v>3</v>
      </c>
      <c r="K32" s="11">
        <v>3</v>
      </c>
      <c r="L32" s="11">
        <v>4</v>
      </c>
      <c r="M32" s="11">
        <v>3</v>
      </c>
      <c r="N32" s="11">
        <v>3</v>
      </c>
      <c r="O32" s="11">
        <v>4</v>
      </c>
      <c r="P32" s="11">
        <v>3</v>
      </c>
      <c r="Q32" s="11">
        <v>3</v>
      </c>
      <c r="R32" s="11">
        <v>3</v>
      </c>
      <c r="S32" s="11">
        <v>4</v>
      </c>
      <c r="T32" s="11">
        <v>4</v>
      </c>
      <c r="U32" s="11">
        <v>3</v>
      </c>
      <c r="V32" s="11">
        <v>4</v>
      </c>
      <c r="W32" s="11">
        <v>4</v>
      </c>
      <c r="X32" s="11">
        <v>3</v>
      </c>
      <c r="Y32" s="11">
        <v>3</v>
      </c>
      <c r="Z32" s="11">
        <v>4</v>
      </c>
      <c r="AA32" s="11">
        <v>4</v>
      </c>
      <c r="AB32" s="11">
        <v>3</v>
      </c>
      <c r="AC32" s="11">
        <v>4</v>
      </c>
      <c r="AD32" s="11">
        <v>4</v>
      </c>
      <c r="AE32" s="11">
        <v>3</v>
      </c>
    </row>
    <row r="33" spans="1:31" x14ac:dyDescent="0.3">
      <c r="A33" s="11">
        <v>30</v>
      </c>
      <c r="B33" s="11">
        <v>5</v>
      </c>
      <c r="C33" s="11">
        <v>4</v>
      </c>
      <c r="D33" s="11">
        <v>3</v>
      </c>
      <c r="E33" s="11">
        <v>4</v>
      </c>
      <c r="F33" s="11">
        <v>3</v>
      </c>
      <c r="G33" s="11">
        <v>3</v>
      </c>
      <c r="H33" s="11">
        <v>4</v>
      </c>
      <c r="I33" s="11">
        <v>3</v>
      </c>
      <c r="J33" s="11">
        <v>4</v>
      </c>
      <c r="K33" s="11">
        <v>4</v>
      </c>
      <c r="L33" s="11">
        <v>4</v>
      </c>
      <c r="M33" s="11">
        <v>3</v>
      </c>
      <c r="N33" s="11">
        <v>4</v>
      </c>
      <c r="O33" s="11">
        <v>4</v>
      </c>
      <c r="P33" s="11">
        <v>3</v>
      </c>
      <c r="Q33" s="11">
        <v>3</v>
      </c>
      <c r="R33" s="11">
        <v>3</v>
      </c>
      <c r="S33" s="11">
        <v>3</v>
      </c>
      <c r="T33" s="11">
        <v>3</v>
      </c>
      <c r="U33" s="11">
        <v>3</v>
      </c>
      <c r="V33" s="11">
        <v>2</v>
      </c>
      <c r="W33" s="11">
        <v>3</v>
      </c>
      <c r="X33" s="11">
        <v>3</v>
      </c>
      <c r="Y33" s="11">
        <v>2</v>
      </c>
      <c r="Z33" s="11">
        <v>5</v>
      </c>
      <c r="AA33" s="11">
        <v>3</v>
      </c>
      <c r="AB33" s="11">
        <v>4</v>
      </c>
      <c r="AC33" s="11">
        <v>4</v>
      </c>
      <c r="AD33" s="11">
        <v>3</v>
      </c>
      <c r="AE33" s="11">
        <v>3</v>
      </c>
    </row>
    <row r="34" spans="1:31" x14ac:dyDescent="0.3">
      <c r="A34" s="11">
        <v>31</v>
      </c>
      <c r="B34" s="11">
        <v>4</v>
      </c>
      <c r="C34" s="11">
        <v>3</v>
      </c>
      <c r="D34" s="11">
        <v>3</v>
      </c>
      <c r="E34" s="11">
        <v>3</v>
      </c>
      <c r="F34" s="11">
        <v>3</v>
      </c>
      <c r="G34" s="11">
        <v>3</v>
      </c>
      <c r="H34" s="11">
        <v>3</v>
      </c>
      <c r="I34" s="11">
        <v>4</v>
      </c>
      <c r="J34" s="11">
        <v>3</v>
      </c>
      <c r="K34" s="11">
        <v>3</v>
      </c>
      <c r="L34" s="11">
        <v>4</v>
      </c>
      <c r="M34" s="11">
        <v>3</v>
      </c>
      <c r="N34" s="11">
        <v>3</v>
      </c>
      <c r="O34" s="11">
        <v>4</v>
      </c>
      <c r="P34" s="11">
        <v>3</v>
      </c>
      <c r="Q34" s="11">
        <v>3</v>
      </c>
      <c r="R34" s="11">
        <v>3</v>
      </c>
      <c r="S34" s="11">
        <v>4</v>
      </c>
      <c r="T34" s="11">
        <v>3</v>
      </c>
      <c r="U34" s="11">
        <v>4</v>
      </c>
      <c r="V34" s="11">
        <v>3</v>
      </c>
      <c r="W34" s="11">
        <v>3</v>
      </c>
      <c r="X34" s="11">
        <v>4</v>
      </c>
      <c r="Y34" s="11">
        <v>3</v>
      </c>
      <c r="Z34" s="11">
        <v>3</v>
      </c>
      <c r="AA34" s="11">
        <v>3</v>
      </c>
      <c r="AB34" s="11">
        <v>4</v>
      </c>
      <c r="AC34" s="11">
        <v>4</v>
      </c>
      <c r="AD34" s="11">
        <v>4</v>
      </c>
      <c r="AE34" s="11">
        <v>4</v>
      </c>
    </row>
    <row r="35" spans="1:31" x14ac:dyDescent="0.3">
      <c r="A35" s="11">
        <v>32</v>
      </c>
      <c r="B35" s="11">
        <v>4</v>
      </c>
      <c r="C35" s="11">
        <v>5</v>
      </c>
      <c r="D35" s="11">
        <v>5</v>
      </c>
      <c r="E35" s="11">
        <v>4</v>
      </c>
      <c r="F35" s="11">
        <v>4</v>
      </c>
      <c r="G35" s="11">
        <v>4</v>
      </c>
      <c r="H35" s="11">
        <v>4</v>
      </c>
      <c r="I35" s="11">
        <v>4</v>
      </c>
      <c r="J35" s="11">
        <v>4</v>
      </c>
      <c r="K35" s="11">
        <v>5</v>
      </c>
      <c r="L35" s="11">
        <v>4</v>
      </c>
      <c r="M35" s="11">
        <v>4</v>
      </c>
      <c r="N35" s="11">
        <v>5</v>
      </c>
      <c r="O35" s="11">
        <v>4</v>
      </c>
      <c r="P35" s="11">
        <v>4</v>
      </c>
      <c r="Q35" s="11">
        <v>4</v>
      </c>
      <c r="R35" s="11">
        <v>4</v>
      </c>
      <c r="S35" s="11">
        <v>4</v>
      </c>
      <c r="T35" s="11">
        <v>5</v>
      </c>
      <c r="U35" s="11">
        <v>5</v>
      </c>
      <c r="V35" s="11">
        <v>4</v>
      </c>
      <c r="W35" s="11">
        <v>4</v>
      </c>
      <c r="X35" s="11">
        <v>5</v>
      </c>
      <c r="Y35" s="11">
        <v>5</v>
      </c>
      <c r="Z35" s="11">
        <v>4</v>
      </c>
      <c r="AA35" s="11">
        <v>5</v>
      </c>
      <c r="AB35" s="11">
        <v>5</v>
      </c>
      <c r="AC35" s="11">
        <v>5</v>
      </c>
      <c r="AD35" s="11">
        <v>5</v>
      </c>
      <c r="AE35" s="11">
        <v>5</v>
      </c>
    </row>
    <row r="36" spans="1:31" x14ac:dyDescent="0.3">
      <c r="A36" s="11">
        <v>33</v>
      </c>
      <c r="B36" s="11">
        <v>3</v>
      </c>
      <c r="C36" s="11">
        <v>4</v>
      </c>
      <c r="D36" s="11">
        <v>4</v>
      </c>
      <c r="E36" s="11">
        <v>4</v>
      </c>
      <c r="F36" s="11">
        <v>3</v>
      </c>
      <c r="G36" s="11">
        <v>3</v>
      </c>
      <c r="H36" s="11">
        <v>3</v>
      </c>
      <c r="I36" s="11">
        <v>4</v>
      </c>
      <c r="J36" s="11">
        <v>4</v>
      </c>
      <c r="K36" s="11">
        <v>4</v>
      </c>
      <c r="L36" s="11">
        <v>3</v>
      </c>
      <c r="M36" s="11">
        <v>4</v>
      </c>
      <c r="N36" s="11">
        <v>4</v>
      </c>
      <c r="O36" s="11">
        <v>3</v>
      </c>
      <c r="P36" s="11">
        <v>4</v>
      </c>
      <c r="Q36" s="11">
        <v>4</v>
      </c>
      <c r="R36" s="11">
        <v>4</v>
      </c>
      <c r="S36" s="11">
        <v>4</v>
      </c>
      <c r="T36" s="11">
        <v>4</v>
      </c>
      <c r="U36" s="11">
        <v>4</v>
      </c>
      <c r="V36" s="11">
        <v>4</v>
      </c>
      <c r="W36" s="11">
        <v>4</v>
      </c>
      <c r="X36" s="11">
        <v>5</v>
      </c>
      <c r="Y36" s="11">
        <v>5</v>
      </c>
      <c r="Z36" s="11">
        <v>4</v>
      </c>
      <c r="AA36" s="11">
        <v>4</v>
      </c>
      <c r="AB36" s="11">
        <v>4</v>
      </c>
      <c r="AC36" s="11">
        <v>5</v>
      </c>
      <c r="AD36" s="11">
        <v>4</v>
      </c>
      <c r="AE36" s="11">
        <v>5</v>
      </c>
    </row>
    <row r="37" spans="1:31" x14ac:dyDescent="0.3">
      <c r="A37" s="11">
        <v>34</v>
      </c>
      <c r="B37" s="11">
        <v>3</v>
      </c>
      <c r="C37" s="11">
        <v>3</v>
      </c>
      <c r="D37" s="11">
        <v>3</v>
      </c>
      <c r="E37" s="11">
        <v>3</v>
      </c>
      <c r="F37" s="11">
        <v>3</v>
      </c>
      <c r="G37" s="11">
        <v>3</v>
      </c>
      <c r="H37" s="11">
        <v>3</v>
      </c>
      <c r="I37" s="11">
        <v>3</v>
      </c>
      <c r="J37" s="11">
        <v>4</v>
      </c>
      <c r="K37" s="11">
        <v>3</v>
      </c>
      <c r="L37" s="11">
        <v>3</v>
      </c>
      <c r="M37" s="11">
        <v>2</v>
      </c>
      <c r="N37" s="11">
        <v>3</v>
      </c>
      <c r="O37" s="11">
        <v>3</v>
      </c>
      <c r="P37" s="11">
        <v>2</v>
      </c>
      <c r="Q37" s="11">
        <v>3</v>
      </c>
      <c r="R37" s="11">
        <v>3</v>
      </c>
      <c r="S37" s="11">
        <v>4</v>
      </c>
      <c r="T37" s="11">
        <v>2</v>
      </c>
      <c r="U37" s="11">
        <v>3</v>
      </c>
      <c r="V37" s="11">
        <v>3</v>
      </c>
      <c r="W37" s="11">
        <v>4</v>
      </c>
      <c r="X37" s="11">
        <v>3</v>
      </c>
      <c r="Y37" s="11">
        <v>3</v>
      </c>
      <c r="Z37" s="11">
        <v>5</v>
      </c>
      <c r="AA37" s="11">
        <v>4</v>
      </c>
      <c r="AB37" s="11">
        <v>4</v>
      </c>
      <c r="AC37" s="11">
        <v>3</v>
      </c>
      <c r="AD37" s="11">
        <v>3</v>
      </c>
      <c r="AE37" s="11">
        <v>4</v>
      </c>
    </row>
    <row r="38" spans="1:31" x14ac:dyDescent="0.3">
      <c r="A38" s="11">
        <v>35</v>
      </c>
      <c r="B38" s="11">
        <v>4</v>
      </c>
      <c r="C38" s="11">
        <v>5</v>
      </c>
      <c r="D38" s="11">
        <v>5</v>
      </c>
      <c r="E38" s="11">
        <v>4</v>
      </c>
      <c r="F38" s="11">
        <v>4</v>
      </c>
      <c r="G38" s="11">
        <v>5</v>
      </c>
      <c r="H38" s="11">
        <v>4</v>
      </c>
      <c r="I38" s="11">
        <v>4</v>
      </c>
      <c r="J38" s="11">
        <v>4</v>
      </c>
      <c r="K38" s="11">
        <v>4</v>
      </c>
      <c r="L38" s="11">
        <v>4</v>
      </c>
      <c r="M38" s="11">
        <v>4</v>
      </c>
      <c r="N38" s="11">
        <v>4</v>
      </c>
      <c r="O38" s="11">
        <v>4</v>
      </c>
      <c r="P38" s="11">
        <v>4</v>
      </c>
      <c r="Q38" s="11">
        <v>4</v>
      </c>
      <c r="R38" s="11">
        <v>4</v>
      </c>
      <c r="S38" s="11">
        <v>4</v>
      </c>
      <c r="T38" s="11">
        <v>4</v>
      </c>
      <c r="U38" s="11">
        <v>4</v>
      </c>
      <c r="V38" s="11">
        <v>3</v>
      </c>
      <c r="W38" s="11">
        <v>4</v>
      </c>
      <c r="X38" s="11">
        <v>3</v>
      </c>
      <c r="Y38" s="11">
        <v>3</v>
      </c>
      <c r="Z38" s="11">
        <v>4</v>
      </c>
      <c r="AA38" s="11">
        <v>4</v>
      </c>
      <c r="AB38" s="11">
        <v>4</v>
      </c>
      <c r="AC38" s="11">
        <v>4</v>
      </c>
      <c r="AD38" s="11">
        <v>4</v>
      </c>
      <c r="AE38" s="11">
        <v>4</v>
      </c>
    </row>
    <row r="39" spans="1:31" x14ac:dyDescent="0.3">
      <c r="A39" s="11">
        <v>36</v>
      </c>
      <c r="B39" s="11">
        <v>3</v>
      </c>
      <c r="C39" s="11">
        <v>3</v>
      </c>
      <c r="D39" s="11">
        <v>2</v>
      </c>
      <c r="E39" s="11">
        <v>3</v>
      </c>
      <c r="F39" s="11">
        <v>3</v>
      </c>
      <c r="G39" s="11">
        <v>3</v>
      </c>
      <c r="H39" s="11">
        <v>2</v>
      </c>
      <c r="I39" s="11">
        <v>3</v>
      </c>
      <c r="J39" s="11">
        <v>3</v>
      </c>
      <c r="K39" s="11">
        <v>2</v>
      </c>
      <c r="L39" s="11">
        <v>3</v>
      </c>
      <c r="M39" s="11">
        <v>3</v>
      </c>
      <c r="N39" s="11">
        <v>2</v>
      </c>
      <c r="O39" s="11">
        <v>3</v>
      </c>
      <c r="P39" s="11">
        <v>3</v>
      </c>
      <c r="Q39" s="11">
        <v>4</v>
      </c>
      <c r="R39" s="11">
        <v>3</v>
      </c>
      <c r="S39" s="11">
        <v>4</v>
      </c>
      <c r="T39" s="11">
        <v>3</v>
      </c>
      <c r="U39" s="11">
        <v>3</v>
      </c>
      <c r="V39" s="11">
        <v>4</v>
      </c>
      <c r="W39" s="11">
        <v>3</v>
      </c>
      <c r="X39" s="11">
        <v>3</v>
      </c>
      <c r="Y39" s="11">
        <v>3</v>
      </c>
      <c r="Z39" s="11">
        <v>5</v>
      </c>
      <c r="AA39" s="11">
        <v>3</v>
      </c>
      <c r="AB39" s="11">
        <v>4</v>
      </c>
      <c r="AC39" s="11">
        <v>4</v>
      </c>
      <c r="AD39" s="11">
        <v>4</v>
      </c>
      <c r="AE39" s="11">
        <v>4</v>
      </c>
    </row>
    <row r="40" spans="1:31" x14ac:dyDescent="0.3">
      <c r="A40" s="11">
        <v>37</v>
      </c>
      <c r="B40" s="11">
        <v>4</v>
      </c>
      <c r="C40" s="11">
        <v>3</v>
      </c>
      <c r="D40" s="11">
        <v>4</v>
      </c>
      <c r="E40" s="11">
        <v>3</v>
      </c>
      <c r="F40" s="11">
        <v>4</v>
      </c>
      <c r="G40" s="11">
        <v>4</v>
      </c>
      <c r="H40" s="11">
        <v>3</v>
      </c>
      <c r="I40" s="11">
        <v>3</v>
      </c>
      <c r="J40" s="11">
        <v>4</v>
      </c>
      <c r="K40" s="11">
        <v>4</v>
      </c>
      <c r="L40" s="11">
        <v>4</v>
      </c>
      <c r="M40" s="11">
        <v>4</v>
      </c>
      <c r="N40" s="11">
        <v>4</v>
      </c>
      <c r="O40" s="11">
        <v>4</v>
      </c>
      <c r="P40" s="11">
        <v>4</v>
      </c>
      <c r="Q40" s="11">
        <v>4</v>
      </c>
      <c r="R40" s="11">
        <v>5</v>
      </c>
      <c r="S40" s="11">
        <v>4</v>
      </c>
      <c r="T40" s="11">
        <v>4</v>
      </c>
      <c r="U40" s="11">
        <v>5</v>
      </c>
      <c r="V40" s="11">
        <v>4</v>
      </c>
      <c r="W40" s="11">
        <v>5</v>
      </c>
      <c r="X40" s="11">
        <v>5</v>
      </c>
      <c r="Y40" s="11">
        <v>4</v>
      </c>
      <c r="Z40" s="11">
        <v>5</v>
      </c>
      <c r="AA40" s="11">
        <v>3</v>
      </c>
      <c r="AB40" s="11">
        <v>4</v>
      </c>
      <c r="AC40" s="11">
        <v>5</v>
      </c>
      <c r="AD40" s="11">
        <v>4</v>
      </c>
      <c r="AE40" s="11">
        <v>3</v>
      </c>
    </row>
    <row r="41" spans="1:31" x14ac:dyDescent="0.3">
      <c r="A41" s="11">
        <v>38</v>
      </c>
      <c r="B41" s="11">
        <v>3</v>
      </c>
      <c r="C41" s="11">
        <v>3</v>
      </c>
      <c r="D41" s="11">
        <v>3</v>
      </c>
      <c r="E41" s="11">
        <v>2</v>
      </c>
      <c r="F41" s="11">
        <v>3</v>
      </c>
      <c r="G41" s="11">
        <v>2</v>
      </c>
      <c r="H41" s="11">
        <v>2</v>
      </c>
      <c r="I41" s="11">
        <v>2</v>
      </c>
      <c r="J41" s="11">
        <v>2</v>
      </c>
      <c r="K41" s="11">
        <v>3</v>
      </c>
      <c r="L41" s="11">
        <v>2</v>
      </c>
      <c r="M41" s="11">
        <v>3</v>
      </c>
      <c r="N41" s="11">
        <v>3</v>
      </c>
      <c r="O41" s="11">
        <v>2</v>
      </c>
      <c r="P41" s="11">
        <v>3</v>
      </c>
      <c r="Q41" s="11">
        <v>3</v>
      </c>
      <c r="R41" s="11">
        <v>3</v>
      </c>
      <c r="S41" s="11">
        <v>3</v>
      </c>
      <c r="T41" s="11">
        <v>3</v>
      </c>
      <c r="U41" s="11">
        <v>4</v>
      </c>
      <c r="V41" s="11">
        <v>3</v>
      </c>
      <c r="W41" s="11">
        <v>3</v>
      </c>
      <c r="X41" s="11">
        <v>3</v>
      </c>
      <c r="Y41" s="11">
        <v>3</v>
      </c>
      <c r="Z41" s="11">
        <v>3</v>
      </c>
      <c r="AA41" s="11">
        <v>4</v>
      </c>
      <c r="AB41" s="11">
        <v>3</v>
      </c>
      <c r="AC41" s="11">
        <v>4</v>
      </c>
      <c r="AD41" s="11">
        <v>4</v>
      </c>
      <c r="AE41" s="11">
        <v>2</v>
      </c>
    </row>
    <row r="42" spans="1:31" x14ac:dyDescent="0.3">
      <c r="A42" s="11">
        <v>39</v>
      </c>
      <c r="B42" s="11">
        <v>3</v>
      </c>
      <c r="C42" s="11">
        <v>3</v>
      </c>
      <c r="D42" s="11">
        <v>3</v>
      </c>
      <c r="E42" s="11">
        <v>3</v>
      </c>
      <c r="F42" s="11">
        <v>3</v>
      </c>
      <c r="G42" s="11">
        <v>2</v>
      </c>
      <c r="H42" s="11">
        <v>4</v>
      </c>
      <c r="I42" s="11">
        <v>3</v>
      </c>
      <c r="J42" s="11">
        <v>3</v>
      </c>
      <c r="K42" s="11">
        <v>2</v>
      </c>
      <c r="L42" s="11">
        <v>3</v>
      </c>
      <c r="M42" s="11">
        <v>4</v>
      </c>
      <c r="N42" s="11">
        <v>2</v>
      </c>
      <c r="O42" s="11">
        <v>3</v>
      </c>
      <c r="P42" s="11">
        <v>4</v>
      </c>
      <c r="Q42" s="11">
        <v>3</v>
      </c>
      <c r="R42" s="11">
        <v>3</v>
      </c>
      <c r="S42" s="11">
        <v>3</v>
      </c>
      <c r="T42" s="11">
        <v>3</v>
      </c>
      <c r="U42" s="11">
        <v>3</v>
      </c>
      <c r="V42" s="11">
        <v>3</v>
      </c>
      <c r="W42" s="11">
        <v>3</v>
      </c>
      <c r="X42" s="11">
        <v>3</v>
      </c>
      <c r="Y42" s="11">
        <v>3</v>
      </c>
      <c r="Z42" s="11">
        <v>4</v>
      </c>
      <c r="AA42" s="11">
        <v>3</v>
      </c>
      <c r="AB42" s="11">
        <v>4</v>
      </c>
      <c r="AC42" s="11">
        <v>4</v>
      </c>
      <c r="AD42" s="11">
        <v>4</v>
      </c>
      <c r="AE42" s="11">
        <v>3</v>
      </c>
    </row>
    <row r="43" spans="1:31" x14ac:dyDescent="0.3">
      <c r="A43" s="11">
        <v>40</v>
      </c>
      <c r="B43" s="11">
        <v>3</v>
      </c>
      <c r="C43" s="11">
        <v>4</v>
      </c>
      <c r="D43" s="11">
        <v>3</v>
      </c>
      <c r="E43" s="11">
        <v>3</v>
      </c>
      <c r="F43" s="11">
        <v>3</v>
      </c>
      <c r="G43" s="11">
        <v>4</v>
      </c>
      <c r="H43" s="11">
        <v>4</v>
      </c>
      <c r="I43" s="11">
        <v>3</v>
      </c>
      <c r="J43" s="11">
        <v>3</v>
      </c>
      <c r="K43" s="11">
        <v>3</v>
      </c>
      <c r="L43" s="11">
        <v>4</v>
      </c>
      <c r="M43" s="11">
        <v>4</v>
      </c>
      <c r="N43" s="11">
        <v>3</v>
      </c>
      <c r="O43" s="11">
        <v>4</v>
      </c>
      <c r="P43" s="11">
        <v>4</v>
      </c>
      <c r="Q43" s="11">
        <v>3</v>
      </c>
      <c r="R43" s="11">
        <v>4</v>
      </c>
      <c r="S43" s="11">
        <v>4</v>
      </c>
      <c r="T43" s="11">
        <v>4</v>
      </c>
      <c r="U43" s="11">
        <v>4</v>
      </c>
      <c r="V43" s="11">
        <v>4</v>
      </c>
      <c r="W43" s="11">
        <v>4</v>
      </c>
      <c r="X43" s="11">
        <v>4</v>
      </c>
      <c r="Y43" s="11">
        <v>4</v>
      </c>
      <c r="Z43" s="11">
        <v>5</v>
      </c>
      <c r="AA43" s="11">
        <v>3</v>
      </c>
      <c r="AB43" s="11">
        <v>4</v>
      </c>
      <c r="AC43" s="11">
        <v>3</v>
      </c>
      <c r="AD43" s="11">
        <v>4</v>
      </c>
      <c r="AE43" s="11">
        <v>5</v>
      </c>
    </row>
    <row r="44" spans="1:31" x14ac:dyDescent="0.3">
      <c r="A44" s="11">
        <v>41</v>
      </c>
      <c r="B44" s="11">
        <v>4</v>
      </c>
      <c r="C44" s="11">
        <v>4</v>
      </c>
      <c r="D44" s="11">
        <v>4</v>
      </c>
      <c r="E44" s="11">
        <v>4</v>
      </c>
      <c r="F44" s="11">
        <v>4</v>
      </c>
      <c r="G44" s="11">
        <v>4</v>
      </c>
      <c r="H44" s="11">
        <v>4</v>
      </c>
      <c r="I44" s="11">
        <v>4</v>
      </c>
      <c r="J44" s="11">
        <v>4</v>
      </c>
      <c r="K44" s="11">
        <v>4</v>
      </c>
      <c r="L44" s="11">
        <v>4</v>
      </c>
      <c r="M44" s="11">
        <v>3</v>
      </c>
      <c r="N44" s="11">
        <v>4</v>
      </c>
      <c r="O44" s="11">
        <v>4</v>
      </c>
      <c r="P44" s="11">
        <v>3</v>
      </c>
      <c r="Q44" s="11">
        <v>4</v>
      </c>
      <c r="R44" s="11">
        <v>4</v>
      </c>
      <c r="S44" s="11">
        <v>4</v>
      </c>
      <c r="T44" s="11">
        <v>3</v>
      </c>
      <c r="U44" s="11">
        <v>4</v>
      </c>
      <c r="V44" s="11">
        <v>5</v>
      </c>
      <c r="W44" s="11">
        <v>4</v>
      </c>
      <c r="X44" s="11">
        <v>4</v>
      </c>
      <c r="Y44" s="11">
        <v>4</v>
      </c>
      <c r="Z44" s="11">
        <v>4</v>
      </c>
      <c r="AA44" s="11">
        <v>5</v>
      </c>
      <c r="AB44" s="11">
        <v>4</v>
      </c>
      <c r="AC44" s="11">
        <v>5</v>
      </c>
      <c r="AD44" s="11">
        <v>5</v>
      </c>
      <c r="AE44" s="11">
        <v>4</v>
      </c>
    </row>
    <row r="45" spans="1:31" x14ac:dyDescent="0.3">
      <c r="A45" s="11">
        <v>42</v>
      </c>
      <c r="B45" s="11">
        <v>4</v>
      </c>
      <c r="C45" s="11">
        <v>4</v>
      </c>
      <c r="D45" s="11">
        <v>3</v>
      </c>
      <c r="E45" s="11">
        <v>4</v>
      </c>
      <c r="F45" s="11">
        <v>4</v>
      </c>
      <c r="G45" s="11">
        <v>4</v>
      </c>
      <c r="H45" s="11">
        <v>4</v>
      </c>
      <c r="I45" s="11">
        <v>3</v>
      </c>
      <c r="J45" s="11">
        <v>3</v>
      </c>
      <c r="K45" s="11">
        <v>4</v>
      </c>
      <c r="L45" s="11">
        <v>4</v>
      </c>
      <c r="M45" s="11">
        <v>3</v>
      </c>
      <c r="N45" s="11">
        <v>4</v>
      </c>
      <c r="O45" s="11">
        <v>4</v>
      </c>
      <c r="P45" s="11">
        <v>3</v>
      </c>
      <c r="Q45" s="11">
        <v>4</v>
      </c>
      <c r="R45" s="11">
        <v>4</v>
      </c>
      <c r="S45" s="11">
        <v>4</v>
      </c>
      <c r="T45" s="11">
        <v>4</v>
      </c>
      <c r="U45" s="11">
        <v>3</v>
      </c>
      <c r="V45" s="11">
        <v>4</v>
      </c>
      <c r="W45" s="11">
        <v>4</v>
      </c>
      <c r="X45" s="11">
        <v>5</v>
      </c>
      <c r="Y45" s="11">
        <v>4</v>
      </c>
      <c r="Z45" s="11">
        <v>5</v>
      </c>
      <c r="AA45" s="11">
        <v>5</v>
      </c>
      <c r="AB45" s="11">
        <v>5</v>
      </c>
      <c r="AC45" s="11">
        <v>4</v>
      </c>
      <c r="AD45" s="11">
        <v>5</v>
      </c>
      <c r="AE45" s="11">
        <v>5</v>
      </c>
    </row>
    <row r="46" spans="1:31" x14ac:dyDescent="0.3">
      <c r="A46" s="11">
        <v>43</v>
      </c>
      <c r="B46" s="11">
        <v>4</v>
      </c>
      <c r="C46" s="11">
        <v>4</v>
      </c>
      <c r="D46" s="11">
        <v>3</v>
      </c>
      <c r="E46" s="11">
        <v>4</v>
      </c>
      <c r="F46" s="11">
        <v>3</v>
      </c>
      <c r="G46" s="11">
        <v>3</v>
      </c>
      <c r="H46" s="11">
        <v>4</v>
      </c>
      <c r="I46" s="11">
        <v>4</v>
      </c>
      <c r="J46" s="11">
        <v>4</v>
      </c>
      <c r="K46" s="11">
        <v>3</v>
      </c>
      <c r="L46" s="11">
        <v>3</v>
      </c>
      <c r="M46" s="11">
        <v>3</v>
      </c>
      <c r="N46" s="11">
        <v>3</v>
      </c>
      <c r="O46" s="11">
        <v>3</v>
      </c>
      <c r="P46" s="11">
        <v>3</v>
      </c>
      <c r="Q46" s="11">
        <v>3</v>
      </c>
      <c r="R46" s="11">
        <v>3</v>
      </c>
      <c r="S46" s="11">
        <v>4</v>
      </c>
      <c r="T46" s="11">
        <v>4</v>
      </c>
      <c r="U46" s="11">
        <v>3</v>
      </c>
      <c r="V46" s="11">
        <v>4</v>
      </c>
      <c r="W46" s="11">
        <v>4</v>
      </c>
      <c r="X46" s="11">
        <v>3</v>
      </c>
      <c r="Y46" s="11">
        <v>3</v>
      </c>
      <c r="Z46" s="11">
        <v>3</v>
      </c>
      <c r="AA46" s="11">
        <v>3</v>
      </c>
      <c r="AB46" s="11">
        <v>4</v>
      </c>
      <c r="AC46" s="11">
        <v>4</v>
      </c>
      <c r="AD46" s="11">
        <v>3</v>
      </c>
      <c r="AE46" s="11">
        <v>3</v>
      </c>
    </row>
    <row r="47" spans="1:31" x14ac:dyDescent="0.3">
      <c r="A47" s="11">
        <v>44</v>
      </c>
      <c r="B47" s="11">
        <v>3</v>
      </c>
      <c r="C47" s="11">
        <v>4</v>
      </c>
      <c r="D47" s="11">
        <v>4</v>
      </c>
      <c r="E47" s="11">
        <v>3</v>
      </c>
      <c r="F47" s="11">
        <v>4</v>
      </c>
      <c r="G47" s="11">
        <v>3</v>
      </c>
      <c r="H47" s="11">
        <v>3</v>
      </c>
      <c r="I47" s="11">
        <v>4</v>
      </c>
      <c r="J47" s="11">
        <v>4</v>
      </c>
      <c r="K47" s="11">
        <v>3</v>
      </c>
      <c r="L47" s="11">
        <v>4</v>
      </c>
      <c r="M47" s="11">
        <v>3</v>
      </c>
      <c r="N47" s="11">
        <v>3</v>
      </c>
      <c r="O47" s="11">
        <v>4</v>
      </c>
      <c r="P47" s="11">
        <v>3</v>
      </c>
      <c r="Q47" s="11">
        <v>3</v>
      </c>
      <c r="R47" s="11">
        <v>4</v>
      </c>
      <c r="S47" s="11">
        <v>4</v>
      </c>
      <c r="T47" s="11">
        <v>3</v>
      </c>
      <c r="U47" s="11">
        <v>3</v>
      </c>
      <c r="V47" s="11">
        <v>3</v>
      </c>
      <c r="W47" s="11">
        <v>3</v>
      </c>
      <c r="X47" s="11">
        <v>3</v>
      </c>
      <c r="Y47" s="11">
        <v>4</v>
      </c>
      <c r="Z47" s="11">
        <v>3</v>
      </c>
      <c r="AA47" s="11">
        <v>4</v>
      </c>
      <c r="AB47" s="11">
        <v>5</v>
      </c>
      <c r="AC47" s="11">
        <v>4</v>
      </c>
      <c r="AD47" s="11">
        <v>3</v>
      </c>
      <c r="AE47" s="11">
        <v>4</v>
      </c>
    </row>
    <row r="48" spans="1:31" x14ac:dyDescent="0.3">
      <c r="A48" s="11">
        <v>45</v>
      </c>
      <c r="B48" s="11">
        <v>3</v>
      </c>
      <c r="C48" s="11">
        <v>2</v>
      </c>
      <c r="D48" s="11">
        <v>3</v>
      </c>
      <c r="E48" s="11">
        <v>3</v>
      </c>
      <c r="F48" s="11">
        <v>3</v>
      </c>
      <c r="G48" s="11">
        <v>2</v>
      </c>
      <c r="H48" s="11">
        <v>3</v>
      </c>
      <c r="I48" s="11">
        <v>2</v>
      </c>
      <c r="J48" s="11">
        <v>3</v>
      </c>
      <c r="K48" s="11">
        <v>3</v>
      </c>
      <c r="L48" s="11">
        <v>3</v>
      </c>
      <c r="M48" s="11">
        <v>3</v>
      </c>
      <c r="N48" s="11">
        <v>3</v>
      </c>
      <c r="O48" s="11">
        <v>3</v>
      </c>
      <c r="P48" s="11">
        <v>3</v>
      </c>
      <c r="Q48" s="11">
        <v>3</v>
      </c>
      <c r="R48" s="11">
        <v>3</v>
      </c>
      <c r="S48" s="11">
        <v>4</v>
      </c>
      <c r="T48" s="11">
        <v>4</v>
      </c>
      <c r="U48" s="11">
        <v>3</v>
      </c>
      <c r="V48" s="11">
        <v>3</v>
      </c>
      <c r="W48" s="11">
        <v>3</v>
      </c>
      <c r="X48" s="11">
        <v>3</v>
      </c>
      <c r="Y48" s="11">
        <v>2</v>
      </c>
      <c r="Z48" s="11">
        <v>3</v>
      </c>
      <c r="AA48" s="11">
        <v>4</v>
      </c>
      <c r="AB48" s="11">
        <v>4</v>
      </c>
      <c r="AC48" s="11">
        <v>3</v>
      </c>
      <c r="AD48" s="11">
        <v>4</v>
      </c>
      <c r="AE48" s="11">
        <v>4</v>
      </c>
    </row>
    <row r="49" spans="1:31" x14ac:dyDescent="0.3">
      <c r="A49" s="11">
        <v>46</v>
      </c>
      <c r="B49" s="11">
        <v>3</v>
      </c>
      <c r="C49" s="11">
        <v>3</v>
      </c>
      <c r="D49" s="11">
        <v>3</v>
      </c>
      <c r="E49" s="11">
        <v>3</v>
      </c>
      <c r="F49" s="11">
        <v>3</v>
      </c>
      <c r="G49" s="11">
        <v>4</v>
      </c>
      <c r="H49" s="11">
        <v>3</v>
      </c>
      <c r="I49" s="11">
        <v>3</v>
      </c>
      <c r="J49" s="11">
        <v>3</v>
      </c>
      <c r="K49" s="11">
        <v>3</v>
      </c>
      <c r="L49" s="11">
        <v>3</v>
      </c>
      <c r="M49" s="11">
        <v>3</v>
      </c>
      <c r="N49" s="11">
        <v>3</v>
      </c>
      <c r="O49" s="11">
        <v>3</v>
      </c>
      <c r="P49" s="11">
        <v>3</v>
      </c>
      <c r="Q49" s="11">
        <v>3</v>
      </c>
      <c r="R49" s="11">
        <v>3</v>
      </c>
      <c r="S49" s="11">
        <v>3</v>
      </c>
      <c r="T49" s="11">
        <v>2</v>
      </c>
      <c r="U49" s="11">
        <v>3</v>
      </c>
      <c r="V49" s="11">
        <v>3</v>
      </c>
      <c r="W49" s="11">
        <v>3</v>
      </c>
      <c r="X49" s="11">
        <v>3</v>
      </c>
      <c r="Y49" s="11">
        <v>3</v>
      </c>
      <c r="Z49" s="11">
        <v>3</v>
      </c>
      <c r="AA49" s="11">
        <v>4</v>
      </c>
      <c r="AB49" s="11">
        <v>3</v>
      </c>
      <c r="AC49" s="11">
        <v>4</v>
      </c>
      <c r="AD49" s="11">
        <v>3</v>
      </c>
      <c r="AE49" s="11">
        <v>5</v>
      </c>
    </row>
    <row r="50" spans="1:31" x14ac:dyDescent="0.3">
      <c r="A50" s="11">
        <v>47</v>
      </c>
      <c r="B50" s="11">
        <v>3</v>
      </c>
      <c r="C50" s="11">
        <v>3</v>
      </c>
      <c r="D50" s="11">
        <v>4</v>
      </c>
      <c r="E50" s="11">
        <v>3</v>
      </c>
      <c r="F50" s="11">
        <v>3</v>
      </c>
      <c r="G50" s="11">
        <v>4</v>
      </c>
      <c r="H50" s="11">
        <v>3</v>
      </c>
      <c r="I50" s="11">
        <v>4</v>
      </c>
      <c r="J50" s="11">
        <v>3</v>
      </c>
      <c r="K50" s="11">
        <v>2</v>
      </c>
      <c r="L50" s="11">
        <v>4</v>
      </c>
      <c r="M50" s="11">
        <v>3</v>
      </c>
      <c r="N50" s="11">
        <v>2</v>
      </c>
      <c r="O50" s="11">
        <v>4</v>
      </c>
      <c r="P50" s="11">
        <v>3</v>
      </c>
      <c r="Q50" s="11">
        <v>4</v>
      </c>
      <c r="R50" s="11">
        <v>4</v>
      </c>
      <c r="S50" s="11">
        <v>4</v>
      </c>
      <c r="T50" s="11">
        <v>3</v>
      </c>
      <c r="U50" s="11">
        <v>4</v>
      </c>
      <c r="V50" s="11">
        <v>4</v>
      </c>
      <c r="W50" s="11">
        <v>4</v>
      </c>
      <c r="X50" s="11">
        <v>3</v>
      </c>
      <c r="Y50" s="11">
        <v>4</v>
      </c>
      <c r="Z50" s="11">
        <v>4</v>
      </c>
      <c r="AA50" s="11">
        <v>4</v>
      </c>
      <c r="AB50" s="11">
        <v>2</v>
      </c>
      <c r="AC50" s="11">
        <v>3</v>
      </c>
      <c r="AD50" s="11">
        <v>3</v>
      </c>
      <c r="AE50" s="11">
        <v>5</v>
      </c>
    </row>
    <row r="51" spans="1:31" x14ac:dyDescent="0.3">
      <c r="A51" s="11">
        <v>48</v>
      </c>
      <c r="B51" s="11">
        <v>4</v>
      </c>
      <c r="C51" s="11">
        <v>4</v>
      </c>
      <c r="D51" s="11">
        <v>4</v>
      </c>
      <c r="E51" s="11">
        <v>4</v>
      </c>
      <c r="F51" s="11">
        <v>5</v>
      </c>
      <c r="G51" s="11">
        <v>4</v>
      </c>
      <c r="H51" s="11">
        <v>4</v>
      </c>
      <c r="I51" s="11">
        <v>4</v>
      </c>
      <c r="J51" s="11">
        <v>4</v>
      </c>
      <c r="K51" s="11">
        <v>4</v>
      </c>
      <c r="L51" s="11">
        <v>4</v>
      </c>
      <c r="M51" s="11">
        <v>4</v>
      </c>
      <c r="N51" s="11">
        <v>4</v>
      </c>
      <c r="O51" s="11">
        <v>4</v>
      </c>
      <c r="P51" s="11">
        <v>4</v>
      </c>
      <c r="Q51" s="11">
        <v>4</v>
      </c>
      <c r="R51" s="11">
        <v>5</v>
      </c>
      <c r="S51" s="11">
        <v>4</v>
      </c>
      <c r="T51" s="11">
        <v>4</v>
      </c>
      <c r="U51" s="11">
        <v>4</v>
      </c>
      <c r="V51" s="11">
        <v>3</v>
      </c>
      <c r="W51" s="11">
        <v>3</v>
      </c>
      <c r="X51" s="11">
        <v>4</v>
      </c>
      <c r="Y51" s="11">
        <v>4</v>
      </c>
      <c r="Z51" s="11">
        <v>4</v>
      </c>
      <c r="AA51" s="11">
        <v>4</v>
      </c>
      <c r="AB51" s="11">
        <v>5</v>
      </c>
      <c r="AC51" s="11">
        <v>4</v>
      </c>
      <c r="AD51" s="11">
        <v>4</v>
      </c>
      <c r="AE51" s="11">
        <v>5</v>
      </c>
    </row>
    <row r="52" spans="1:31" x14ac:dyDescent="0.3">
      <c r="A52" s="11">
        <v>49</v>
      </c>
      <c r="B52" s="11">
        <v>4</v>
      </c>
      <c r="C52" s="11">
        <v>4</v>
      </c>
      <c r="D52" s="11">
        <v>4</v>
      </c>
      <c r="E52" s="11">
        <v>3</v>
      </c>
      <c r="F52" s="11">
        <v>4</v>
      </c>
      <c r="G52" s="11">
        <v>4</v>
      </c>
      <c r="H52" s="11">
        <v>3</v>
      </c>
      <c r="I52" s="11">
        <v>4</v>
      </c>
      <c r="J52" s="11">
        <v>4</v>
      </c>
      <c r="K52" s="11">
        <v>4</v>
      </c>
      <c r="L52" s="11">
        <v>4</v>
      </c>
      <c r="M52" s="11">
        <v>4</v>
      </c>
      <c r="N52" s="11">
        <v>4</v>
      </c>
      <c r="O52" s="11">
        <v>4</v>
      </c>
      <c r="P52" s="11">
        <v>4</v>
      </c>
      <c r="Q52" s="11">
        <v>4</v>
      </c>
      <c r="R52" s="11">
        <v>4</v>
      </c>
      <c r="S52" s="11">
        <v>4</v>
      </c>
      <c r="T52" s="11">
        <v>4</v>
      </c>
      <c r="U52" s="11">
        <v>4</v>
      </c>
      <c r="V52" s="11">
        <v>4</v>
      </c>
      <c r="W52" s="11">
        <v>4</v>
      </c>
      <c r="X52" s="11">
        <v>4</v>
      </c>
      <c r="Y52" s="11">
        <v>4</v>
      </c>
      <c r="Z52" s="11">
        <v>4</v>
      </c>
      <c r="AA52" s="11">
        <v>4</v>
      </c>
      <c r="AB52" s="11">
        <v>4</v>
      </c>
      <c r="AC52" s="11">
        <v>5</v>
      </c>
      <c r="AD52" s="11">
        <v>5</v>
      </c>
      <c r="AE52" s="11">
        <v>5</v>
      </c>
    </row>
    <row r="53" spans="1:31" x14ac:dyDescent="0.3">
      <c r="A53" s="11">
        <v>50</v>
      </c>
      <c r="B53" s="11">
        <v>2</v>
      </c>
      <c r="C53" s="11">
        <v>3</v>
      </c>
      <c r="D53" s="11">
        <v>3</v>
      </c>
      <c r="E53" s="11">
        <v>3</v>
      </c>
      <c r="F53" s="11">
        <v>3</v>
      </c>
      <c r="G53" s="11">
        <v>2</v>
      </c>
      <c r="H53" s="11">
        <v>2</v>
      </c>
      <c r="I53" s="11">
        <v>2</v>
      </c>
      <c r="J53" s="11">
        <v>3</v>
      </c>
      <c r="K53" s="11">
        <v>3</v>
      </c>
      <c r="L53" s="11">
        <v>3</v>
      </c>
      <c r="M53" s="11">
        <v>2</v>
      </c>
      <c r="N53" s="11">
        <v>3</v>
      </c>
      <c r="O53" s="11">
        <v>3</v>
      </c>
      <c r="P53" s="11">
        <v>2</v>
      </c>
      <c r="Q53" s="11">
        <v>3</v>
      </c>
      <c r="R53" s="11">
        <v>3</v>
      </c>
      <c r="S53" s="11">
        <v>3</v>
      </c>
      <c r="T53" s="11">
        <v>3</v>
      </c>
      <c r="U53" s="11">
        <v>3</v>
      </c>
      <c r="V53" s="11">
        <v>4</v>
      </c>
      <c r="W53" s="11">
        <v>3</v>
      </c>
      <c r="X53" s="11">
        <v>3</v>
      </c>
      <c r="Y53" s="11">
        <v>4</v>
      </c>
      <c r="Z53" s="11">
        <v>3</v>
      </c>
      <c r="AA53" s="11">
        <v>4</v>
      </c>
      <c r="AB53" s="11">
        <v>3</v>
      </c>
      <c r="AC53" s="11">
        <v>3</v>
      </c>
      <c r="AD53" s="11">
        <v>4</v>
      </c>
      <c r="AE53" s="11">
        <v>4</v>
      </c>
    </row>
  </sheetData>
  <mergeCells count="3">
    <mergeCell ref="B1:P1"/>
    <mergeCell ref="Q1:Y1"/>
    <mergeCell ref="Z1:AE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443E-0174-45DA-85B8-6500CB277A7C}">
  <dimension ref="B2:I44"/>
  <sheetViews>
    <sheetView workbookViewId="0">
      <selection activeCell="B42" sqref="B42:H44"/>
    </sheetView>
  </sheetViews>
  <sheetFormatPr defaultRowHeight="14.4" x14ac:dyDescent="0.3"/>
  <cols>
    <col min="2" max="2" width="23.88671875" customWidth="1"/>
    <col min="3" max="3" width="17.21875" customWidth="1"/>
    <col min="5" max="5" width="12.109375" customWidth="1"/>
    <col min="6" max="6" width="19.44140625" customWidth="1"/>
    <col min="7" max="7" width="9" customWidth="1"/>
    <col min="8" max="8" width="12.33203125" customWidth="1"/>
    <col min="11" max="11" width="20.77734375" customWidth="1"/>
    <col min="12" max="12" width="11.88671875" customWidth="1"/>
    <col min="14" max="14" width="17.88671875" customWidth="1"/>
    <col min="17" max="17" width="14" customWidth="1"/>
  </cols>
  <sheetData>
    <row r="2" spans="2:9" x14ac:dyDescent="0.3">
      <c r="B2" s="218" t="s">
        <v>28</v>
      </c>
      <c r="C2" s="218"/>
      <c r="D2" s="218"/>
      <c r="E2" s="218"/>
      <c r="F2" s="218"/>
      <c r="G2" s="141"/>
    </row>
    <row r="3" spans="2:9" ht="22.8" x14ac:dyDescent="0.3">
      <c r="B3" s="223" t="s">
        <v>27</v>
      </c>
      <c r="C3" s="223"/>
      <c r="D3" s="142" t="s">
        <v>268</v>
      </c>
      <c r="E3" s="142" t="s">
        <v>269</v>
      </c>
      <c r="F3" s="142" t="s">
        <v>270</v>
      </c>
      <c r="G3" s="141"/>
    </row>
    <row r="4" spans="2:9" x14ac:dyDescent="0.3">
      <c r="B4" s="224" t="s">
        <v>268</v>
      </c>
      <c r="C4" s="152" t="s">
        <v>42</v>
      </c>
      <c r="D4" s="143">
        <v>1</v>
      </c>
      <c r="E4" s="144" t="s">
        <v>394</v>
      </c>
      <c r="F4" s="144" t="s">
        <v>395</v>
      </c>
      <c r="G4" s="141"/>
    </row>
    <row r="5" spans="2:9" x14ac:dyDescent="0.3">
      <c r="B5" s="224"/>
      <c r="C5" s="153" t="s">
        <v>43</v>
      </c>
      <c r="D5" s="145"/>
      <c r="E5" s="146">
        <v>4.9344840433379657E-7</v>
      </c>
      <c r="F5" s="146">
        <v>3.2389151800090651E-7</v>
      </c>
      <c r="G5" s="141"/>
    </row>
    <row r="6" spans="2:9" x14ac:dyDescent="0.3">
      <c r="B6" s="224"/>
      <c r="C6" s="153" t="s">
        <v>44</v>
      </c>
      <c r="D6" s="143">
        <v>50</v>
      </c>
      <c r="E6" s="143">
        <v>50</v>
      </c>
      <c r="F6" s="143">
        <v>50</v>
      </c>
      <c r="G6" s="141"/>
    </row>
    <row r="7" spans="2:9" x14ac:dyDescent="0.3">
      <c r="B7" s="224" t="s">
        <v>269</v>
      </c>
      <c r="C7" s="152" t="s">
        <v>42</v>
      </c>
      <c r="D7" s="144" t="s">
        <v>394</v>
      </c>
      <c r="E7" s="143">
        <v>1</v>
      </c>
      <c r="F7" s="144" t="s">
        <v>396</v>
      </c>
      <c r="G7" s="141"/>
    </row>
    <row r="8" spans="2:9" x14ac:dyDescent="0.3">
      <c r="B8" s="224"/>
      <c r="C8" s="153" t="s">
        <v>43</v>
      </c>
      <c r="D8" s="146">
        <v>4.9344840433379657E-7</v>
      </c>
      <c r="E8" s="145"/>
      <c r="F8" s="146">
        <v>1.3735273096236389E-7</v>
      </c>
      <c r="G8" s="141"/>
    </row>
    <row r="9" spans="2:9" x14ac:dyDescent="0.3">
      <c r="B9" s="224"/>
      <c r="C9" s="153" t="s">
        <v>44</v>
      </c>
      <c r="D9" s="143">
        <v>50</v>
      </c>
      <c r="E9" s="143">
        <v>50</v>
      </c>
      <c r="F9" s="143">
        <v>50</v>
      </c>
      <c r="G9" s="141"/>
    </row>
    <row r="10" spans="2:9" x14ac:dyDescent="0.3">
      <c r="B10" s="224" t="s">
        <v>270</v>
      </c>
      <c r="C10" s="152" t="s">
        <v>42</v>
      </c>
      <c r="D10" s="144" t="s">
        <v>395</v>
      </c>
      <c r="E10" s="144" t="s">
        <v>396</v>
      </c>
      <c r="F10" s="143">
        <v>1</v>
      </c>
      <c r="G10" s="141"/>
    </row>
    <row r="11" spans="2:9" x14ac:dyDescent="0.3">
      <c r="B11" s="224"/>
      <c r="C11" s="153" t="s">
        <v>43</v>
      </c>
      <c r="D11" s="146">
        <v>3.2389151800090651E-7</v>
      </c>
      <c r="E11" s="146">
        <v>1.3735273096236389E-7</v>
      </c>
      <c r="F11" s="145"/>
      <c r="G11" s="141"/>
    </row>
    <row r="12" spans="2:9" x14ac:dyDescent="0.3">
      <c r="B12" s="224"/>
      <c r="C12" s="153" t="s">
        <v>44</v>
      </c>
      <c r="D12" s="143">
        <v>50</v>
      </c>
      <c r="E12" s="143">
        <v>50</v>
      </c>
      <c r="F12" s="143">
        <v>50</v>
      </c>
      <c r="G12" s="141"/>
    </row>
    <row r="13" spans="2:9" x14ac:dyDescent="0.3">
      <c r="B13" s="225" t="s">
        <v>45</v>
      </c>
      <c r="C13" s="225"/>
      <c r="D13" s="225"/>
      <c r="E13" s="225"/>
      <c r="F13" s="225"/>
      <c r="G13" s="141"/>
    </row>
    <row r="16" spans="2:9" x14ac:dyDescent="0.3">
      <c r="B16" s="216" t="s">
        <v>398</v>
      </c>
      <c r="C16" s="216"/>
      <c r="D16" s="216"/>
      <c r="E16" s="216"/>
      <c r="F16" s="216"/>
      <c r="G16" s="216"/>
      <c r="H16" s="216"/>
      <c r="I16" s="141"/>
    </row>
    <row r="17" spans="2:9" ht="24" x14ac:dyDescent="0.3">
      <c r="B17" s="219" t="s">
        <v>308</v>
      </c>
      <c r="C17" s="219"/>
      <c r="D17" s="220" t="s">
        <v>327</v>
      </c>
      <c r="E17" s="220"/>
      <c r="F17" s="154" t="s">
        <v>328</v>
      </c>
      <c r="G17" s="220" t="s">
        <v>329</v>
      </c>
      <c r="H17" s="220" t="s">
        <v>320</v>
      </c>
      <c r="I17" s="141"/>
    </row>
    <row r="18" spans="2:9" x14ac:dyDescent="0.3">
      <c r="B18" s="219"/>
      <c r="C18" s="219"/>
      <c r="D18" s="154" t="s">
        <v>330</v>
      </c>
      <c r="E18" s="154" t="s">
        <v>331</v>
      </c>
      <c r="F18" s="154" t="s">
        <v>332</v>
      </c>
      <c r="G18" s="220"/>
      <c r="H18" s="220"/>
      <c r="I18" s="141"/>
    </row>
    <row r="19" spans="2:9" x14ac:dyDescent="0.3">
      <c r="B19" s="221" t="s">
        <v>313</v>
      </c>
      <c r="C19" s="151" t="s">
        <v>333</v>
      </c>
      <c r="D19" s="150">
        <v>8.3622438636772038</v>
      </c>
      <c r="E19" s="150">
        <v>2.1868424038006835</v>
      </c>
      <c r="F19" s="149"/>
      <c r="G19" s="150">
        <v>3.8238895720806445</v>
      </c>
      <c r="H19" s="150">
        <v>3.8587091197759985E-4</v>
      </c>
      <c r="I19" s="141"/>
    </row>
    <row r="20" spans="2:9" x14ac:dyDescent="0.3">
      <c r="B20" s="222"/>
      <c r="C20" s="151" t="s">
        <v>268</v>
      </c>
      <c r="D20" s="150">
        <v>0.14003512847154886</v>
      </c>
      <c r="E20" s="150">
        <v>4.8323390944159557E-2</v>
      </c>
      <c r="F20" s="150">
        <v>0.37935990544891862</v>
      </c>
      <c r="G20" s="150">
        <v>2.8978746262522734</v>
      </c>
      <c r="H20" s="150">
        <v>5.6907646244372355E-3</v>
      </c>
      <c r="I20" s="141"/>
    </row>
    <row r="21" spans="2:9" x14ac:dyDescent="0.3">
      <c r="B21" s="222"/>
      <c r="C21" s="151" t="s">
        <v>269</v>
      </c>
      <c r="D21" s="150">
        <v>0.25558842372858726</v>
      </c>
      <c r="E21" s="150">
        <v>7.9394282680214992E-2</v>
      </c>
      <c r="F21" s="150">
        <v>0.42142838759605011</v>
      </c>
      <c r="G21" s="150">
        <v>3.2192295855615778</v>
      </c>
      <c r="H21" s="150">
        <v>2.33223063971312E-3</v>
      </c>
      <c r="I21" s="141"/>
    </row>
    <row r="22" spans="2:9" x14ac:dyDescent="0.3">
      <c r="B22" s="215" t="s">
        <v>323</v>
      </c>
      <c r="C22" s="215"/>
      <c r="D22" s="215"/>
      <c r="E22" s="215"/>
      <c r="F22" s="215"/>
      <c r="G22" s="215"/>
      <c r="H22" s="215"/>
      <c r="I22" s="141"/>
    </row>
    <row r="26" spans="2:9" x14ac:dyDescent="0.3">
      <c r="B26" s="216" t="s">
        <v>400</v>
      </c>
      <c r="C26" s="216"/>
      <c r="D26" s="216"/>
      <c r="E26" s="216"/>
      <c r="F26" s="216"/>
      <c r="G26" s="141"/>
    </row>
    <row r="27" spans="2:9" ht="24" x14ac:dyDescent="0.3">
      <c r="B27" s="217" t="s">
        <v>308</v>
      </c>
      <c r="C27" s="155" t="s">
        <v>309</v>
      </c>
      <c r="D27" s="155" t="s">
        <v>310</v>
      </c>
      <c r="E27" s="155" t="s">
        <v>311</v>
      </c>
      <c r="F27" s="155" t="s">
        <v>312</v>
      </c>
      <c r="G27" s="141"/>
    </row>
    <row r="28" spans="2:9" x14ac:dyDescent="0.3">
      <c r="B28" s="156" t="s">
        <v>313</v>
      </c>
      <c r="C28" s="157" t="s">
        <v>401</v>
      </c>
      <c r="D28" s="158">
        <v>0.52691291761449843</v>
      </c>
      <c r="E28" s="158">
        <v>0.50678155240660472</v>
      </c>
      <c r="F28" s="159">
        <v>1.9267654392758022</v>
      </c>
      <c r="G28" s="141"/>
    </row>
    <row r="29" spans="2:9" x14ac:dyDescent="0.3">
      <c r="B29" s="212" t="s">
        <v>314</v>
      </c>
      <c r="C29" s="212"/>
      <c r="D29" s="212"/>
      <c r="E29" s="212"/>
      <c r="F29" s="212"/>
      <c r="G29" s="141"/>
    </row>
    <row r="30" spans="2:9" x14ac:dyDescent="0.3">
      <c r="B30" s="212" t="s">
        <v>399</v>
      </c>
      <c r="C30" s="212"/>
      <c r="D30" s="212"/>
      <c r="E30" s="212"/>
      <c r="F30" s="212"/>
      <c r="G30" s="141"/>
    </row>
    <row r="32" spans="2:9" x14ac:dyDescent="0.3">
      <c r="B32" s="218" t="s">
        <v>325</v>
      </c>
      <c r="C32" s="218"/>
      <c r="D32" s="218"/>
      <c r="E32" s="218"/>
      <c r="F32" s="218"/>
      <c r="G32" s="218"/>
      <c r="H32" s="218"/>
      <c r="I32" s="160"/>
    </row>
    <row r="33" spans="2:9" ht="24" x14ac:dyDescent="0.3">
      <c r="B33" s="209" t="s">
        <v>308</v>
      </c>
      <c r="C33" s="209"/>
      <c r="D33" s="147" t="s">
        <v>316</v>
      </c>
      <c r="E33" s="147" t="s">
        <v>317</v>
      </c>
      <c r="F33" s="147" t="s">
        <v>318</v>
      </c>
      <c r="G33" s="147" t="s">
        <v>319</v>
      </c>
      <c r="H33" s="147" t="s">
        <v>320</v>
      </c>
      <c r="I33" s="160"/>
    </row>
    <row r="34" spans="2:9" x14ac:dyDescent="0.3">
      <c r="B34" s="210">
        <v>1</v>
      </c>
      <c r="C34" s="152" t="s">
        <v>321</v>
      </c>
      <c r="D34" s="148">
        <v>194.33602227457936</v>
      </c>
      <c r="E34" s="161">
        <v>2</v>
      </c>
      <c r="F34" s="148">
        <v>97.168011137289682</v>
      </c>
      <c r="G34" s="148">
        <v>26.173730006541792</v>
      </c>
      <c r="H34" s="162" t="s">
        <v>326</v>
      </c>
      <c r="I34" s="160"/>
    </row>
    <row r="35" spans="2:9" x14ac:dyDescent="0.3">
      <c r="B35" s="211"/>
      <c r="C35" s="152" t="s">
        <v>322</v>
      </c>
      <c r="D35" s="148">
        <v>174.48397772542074</v>
      </c>
      <c r="E35" s="161">
        <v>47</v>
      </c>
      <c r="F35" s="148">
        <v>3.7124250579876752</v>
      </c>
      <c r="G35" s="145"/>
      <c r="H35" s="145"/>
      <c r="I35" s="160"/>
    </row>
    <row r="36" spans="2:9" x14ac:dyDescent="0.3">
      <c r="B36" s="211"/>
      <c r="C36" s="152" t="s">
        <v>152</v>
      </c>
      <c r="D36" s="148">
        <v>368.82000000000011</v>
      </c>
      <c r="E36" s="161">
        <v>49</v>
      </c>
      <c r="F36" s="145"/>
      <c r="G36" s="145"/>
      <c r="H36" s="145"/>
      <c r="I36" s="160"/>
    </row>
    <row r="37" spans="2:9" x14ac:dyDescent="0.3">
      <c r="B37" s="212" t="s">
        <v>323</v>
      </c>
      <c r="C37" s="212"/>
      <c r="D37" s="212"/>
      <c r="E37" s="212"/>
      <c r="F37" s="212"/>
      <c r="G37" s="212"/>
      <c r="H37" s="212"/>
      <c r="I37" s="160"/>
    </row>
    <row r="38" spans="2:9" x14ac:dyDescent="0.3">
      <c r="B38" s="212" t="s">
        <v>324</v>
      </c>
      <c r="C38" s="212"/>
      <c r="D38" s="212"/>
      <c r="E38" s="212"/>
      <c r="F38" s="212"/>
      <c r="G38" s="212"/>
      <c r="H38" s="212"/>
      <c r="I38" s="160"/>
    </row>
    <row r="39" spans="2:9" ht="36.6" customHeight="1" x14ac:dyDescent="0.3"/>
    <row r="42" spans="2:9" ht="27.6" x14ac:dyDescent="0.3">
      <c r="B42" s="80" t="s">
        <v>308</v>
      </c>
      <c r="C42" s="80" t="s">
        <v>402</v>
      </c>
      <c r="D42" s="80" t="s">
        <v>403</v>
      </c>
      <c r="E42" s="80" t="s">
        <v>404</v>
      </c>
      <c r="F42" s="80" t="s">
        <v>320</v>
      </c>
      <c r="G42" s="80" t="s">
        <v>405</v>
      </c>
      <c r="H42" s="80" t="s">
        <v>48</v>
      </c>
    </row>
    <row r="43" spans="2:9" ht="27.6" x14ac:dyDescent="0.3">
      <c r="B43" s="132" t="s">
        <v>406</v>
      </c>
      <c r="C43" s="82">
        <v>0.379</v>
      </c>
      <c r="D43" s="82">
        <v>2.8980000000000001</v>
      </c>
      <c r="E43" s="82">
        <v>2.0110000000000001</v>
      </c>
      <c r="F43" s="82">
        <v>6.0000000000000001E-3</v>
      </c>
      <c r="G43" s="213">
        <v>0.52700000000000002</v>
      </c>
      <c r="H43" s="82" t="s">
        <v>407</v>
      </c>
    </row>
    <row r="44" spans="2:9" ht="27.6" x14ac:dyDescent="0.3">
      <c r="B44" s="132" t="s">
        <v>408</v>
      </c>
      <c r="C44" s="82">
        <v>0.42099999999999999</v>
      </c>
      <c r="D44" s="82">
        <v>3.2189999999999999</v>
      </c>
      <c r="E44" s="82">
        <v>2.0110000000000001</v>
      </c>
      <c r="F44" s="82">
        <v>2E-3</v>
      </c>
      <c r="G44" s="214"/>
      <c r="H44" s="82" t="s">
        <v>407</v>
      </c>
    </row>
  </sheetData>
  <mergeCells count="23">
    <mergeCell ref="B13:F13"/>
    <mergeCell ref="B2:F2"/>
    <mergeCell ref="B3:C3"/>
    <mergeCell ref="B4:B6"/>
    <mergeCell ref="B7:B9"/>
    <mergeCell ref="B10:B12"/>
    <mergeCell ref="B32:H32"/>
    <mergeCell ref="B16:H16"/>
    <mergeCell ref="B17:C18"/>
    <mergeCell ref="D17:E17"/>
    <mergeCell ref="G17:G18"/>
    <mergeCell ref="H17:H18"/>
    <mergeCell ref="B19:B21"/>
    <mergeCell ref="B22:H22"/>
    <mergeCell ref="B26:F26"/>
    <mergeCell ref="B27"/>
    <mergeCell ref="B29:F29"/>
    <mergeCell ref="B30:F30"/>
    <mergeCell ref="B33:C33"/>
    <mergeCell ref="B34:B36"/>
    <mergeCell ref="B37:H37"/>
    <mergeCell ref="B38:H38"/>
    <mergeCell ref="G43:G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D1D3-7CFF-4468-83E8-29E77DE0D7F2}">
  <dimension ref="A1:L63"/>
  <sheetViews>
    <sheetView topLeftCell="A37" workbookViewId="0">
      <selection activeCell="A49" sqref="A49:J63"/>
    </sheetView>
  </sheetViews>
  <sheetFormatPr defaultRowHeight="13.8" x14ac:dyDescent="0.25"/>
  <cols>
    <col min="1" max="1" width="14.5546875" style="129" customWidth="1"/>
    <col min="2" max="2" width="18.44140625" style="129" bestFit="1" customWidth="1"/>
    <col min="3" max="8" width="8.88671875" style="129"/>
    <col min="9" max="9" width="11" style="140" customWidth="1"/>
    <col min="10" max="10" width="12.77734375" style="140" customWidth="1"/>
    <col min="11" max="16384" width="8.88671875" style="129"/>
  </cols>
  <sheetData>
    <row r="1" spans="1:12" x14ac:dyDescent="0.25">
      <c r="A1" s="227" t="s">
        <v>335</v>
      </c>
      <c r="B1" s="227" t="s">
        <v>336</v>
      </c>
      <c r="C1" s="227" t="s">
        <v>337</v>
      </c>
      <c r="D1" s="227"/>
      <c r="E1" s="227"/>
      <c r="F1" s="227"/>
      <c r="G1" s="227"/>
      <c r="H1" s="227" t="s">
        <v>343</v>
      </c>
      <c r="I1" s="227" t="s">
        <v>344</v>
      </c>
      <c r="J1" s="227" t="s">
        <v>345</v>
      </c>
    </row>
    <row r="2" spans="1:12" x14ac:dyDescent="0.25">
      <c r="A2" s="227"/>
      <c r="B2" s="227"/>
      <c r="C2" s="77" t="s">
        <v>338</v>
      </c>
      <c r="D2" s="77" t="s">
        <v>339</v>
      </c>
      <c r="E2" s="77" t="s">
        <v>340</v>
      </c>
      <c r="F2" s="77" t="s">
        <v>341</v>
      </c>
      <c r="G2" s="77" t="s">
        <v>342</v>
      </c>
      <c r="H2" s="227"/>
      <c r="I2" s="227"/>
      <c r="J2" s="227"/>
      <c r="K2" s="130"/>
      <c r="L2" s="130"/>
    </row>
    <row r="3" spans="1:12" x14ac:dyDescent="0.25">
      <c r="A3" s="227"/>
      <c r="B3" s="227"/>
      <c r="C3" s="77">
        <v>5</v>
      </c>
      <c r="D3" s="77">
        <v>4</v>
      </c>
      <c r="E3" s="77">
        <v>3</v>
      </c>
      <c r="F3" s="77">
        <v>2</v>
      </c>
      <c r="G3" s="77">
        <v>1</v>
      </c>
      <c r="H3" s="227"/>
      <c r="I3" s="227"/>
      <c r="J3" s="227"/>
      <c r="K3" s="131"/>
      <c r="L3" s="131"/>
    </row>
    <row r="4" spans="1:12" ht="83.4" customHeight="1" x14ac:dyDescent="0.25">
      <c r="A4" s="226" t="s">
        <v>358</v>
      </c>
      <c r="B4" s="132" t="s">
        <v>118</v>
      </c>
      <c r="C4" s="82">
        <v>2</v>
      </c>
      <c r="D4" s="82">
        <v>24</v>
      </c>
      <c r="E4" s="82">
        <v>21</v>
      </c>
      <c r="F4" s="82">
        <v>3</v>
      </c>
      <c r="G4" s="82">
        <v>0</v>
      </c>
      <c r="H4" s="82">
        <v>175</v>
      </c>
      <c r="I4" s="82">
        <v>3.5</v>
      </c>
      <c r="J4" s="82" t="s">
        <v>384</v>
      </c>
      <c r="K4" s="131"/>
      <c r="L4" s="131"/>
    </row>
    <row r="5" spans="1:12" ht="69" x14ac:dyDescent="0.25">
      <c r="A5" s="226"/>
      <c r="B5" s="132" t="s">
        <v>346</v>
      </c>
      <c r="C5" s="82">
        <v>5</v>
      </c>
      <c r="D5" s="82">
        <v>20</v>
      </c>
      <c r="E5" s="82">
        <v>22</v>
      </c>
      <c r="F5" s="82">
        <v>3</v>
      </c>
      <c r="G5" s="82">
        <v>0</v>
      </c>
      <c r="H5" s="82">
        <v>177</v>
      </c>
      <c r="I5" s="82">
        <v>3.54</v>
      </c>
      <c r="J5" s="82" t="s">
        <v>384</v>
      </c>
      <c r="K5" s="131"/>
      <c r="L5" s="131"/>
    </row>
    <row r="6" spans="1:12" ht="96.6" x14ac:dyDescent="0.25">
      <c r="A6" s="226"/>
      <c r="B6" s="132" t="s">
        <v>347</v>
      </c>
      <c r="C6" s="82">
        <v>4</v>
      </c>
      <c r="D6" s="82">
        <v>18</v>
      </c>
      <c r="E6" s="82">
        <v>24</v>
      </c>
      <c r="F6" s="82">
        <v>4</v>
      </c>
      <c r="G6" s="82">
        <v>0</v>
      </c>
      <c r="H6" s="82">
        <v>172</v>
      </c>
      <c r="I6" s="82">
        <v>3.44</v>
      </c>
      <c r="J6" s="82" t="s">
        <v>384</v>
      </c>
      <c r="K6" s="131"/>
      <c r="L6" s="131"/>
    </row>
    <row r="7" spans="1:12" ht="55.2" x14ac:dyDescent="0.25">
      <c r="A7" s="226" t="s">
        <v>359</v>
      </c>
      <c r="B7" s="132" t="s">
        <v>348</v>
      </c>
      <c r="C7" s="82">
        <v>1</v>
      </c>
      <c r="D7" s="82">
        <v>23</v>
      </c>
      <c r="E7" s="82">
        <v>22</v>
      </c>
      <c r="F7" s="82">
        <v>4</v>
      </c>
      <c r="G7" s="82">
        <v>0</v>
      </c>
      <c r="H7" s="82">
        <v>171</v>
      </c>
      <c r="I7" s="82">
        <v>3.42</v>
      </c>
      <c r="J7" s="82" t="s">
        <v>384</v>
      </c>
      <c r="K7" s="131"/>
      <c r="L7" s="131"/>
    </row>
    <row r="8" spans="1:12" ht="55.2" x14ac:dyDescent="0.25">
      <c r="A8" s="226"/>
      <c r="B8" s="132" t="s">
        <v>349</v>
      </c>
      <c r="C8" s="82">
        <v>1</v>
      </c>
      <c r="D8" s="82">
        <v>24</v>
      </c>
      <c r="E8" s="82">
        <v>21</v>
      </c>
      <c r="F8" s="82">
        <v>4</v>
      </c>
      <c r="G8" s="82">
        <v>0</v>
      </c>
      <c r="H8" s="82">
        <v>172</v>
      </c>
      <c r="I8" s="82">
        <v>3.44</v>
      </c>
      <c r="J8" s="82" t="s">
        <v>384</v>
      </c>
      <c r="K8" s="131"/>
      <c r="L8" s="131"/>
    </row>
    <row r="9" spans="1:12" ht="55.2" x14ac:dyDescent="0.25">
      <c r="A9" s="226"/>
      <c r="B9" s="132" t="s">
        <v>350</v>
      </c>
      <c r="C9" s="82">
        <v>0</v>
      </c>
      <c r="D9" s="82">
        <v>20</v>
      </c>
      <c r="E9" s="82">
        <v>26</v>
      </c>
      <c r="F9" s="82">
        <v>4</v>
      </c>
      <c r="G9" s="82">
        <v>0</v>
      </c>
      <c r="H9" s="82">
        <v>166</v>
      </c>
      <c r="I9" s="82">
        <v>3.32</v>
      </c>
      <c r="J9" s="82" t="s">
        <v>385</v>
      </c>
      <c r="K9" s="131"/>
      <c r="L9" s="131"/>
    </row>
    <row r="10" spans="1:12" ht="41.4" x14ac:dyDescent="0.25">
      <c r="A10" s="226" t="s">
        <v>360</v>
      </c>
      <c r="B10" s="132" t="s">
        <v>124</v>
      </c>
      <c r="C10" s="82">
        <v>2</v>
      </c>
      <c r="D10" s="82">
        <v>22</v>
      </c>
      <c r="E10" s="82">
        <v>22</v>
      </c>
      <c r="F10" s="82">
        <v>4</v>
      </c>
      <c r="G10" s="82">
        <v>0</v>
      </c>
      <c r="H10" s="82">
        <v>172</v>
      </c>
      <c r="I10" s="82">
        <v>3.44</v>
      </c>
      <c r="J10" s="82" t="s">
        <v>384</v>
      </c>
      <c r="K10" s="131"/>
      <c r="L10" s="131"/>
    </row>
    <row r="11" spans="1:12" ht="69" x14ac:dyDescent="0.25">
      <c r="A11" s="226"/>
      <c r="B11" s="132" t="s">
        <v>125</v>
      </c>
      <c r="C11" s="82">
        <v>1</v>
      </c>
      <c r="D11" s="82">
        <v>19</v>
      </c>
      <c r="E11" s="82">
        <v>26</v>
      </c>
      <c r="F11" s="82">
        <v>4</v>
      </c>
      <c r="G11" s="82">
        <v>0</v>
      </c>
      <c r="H11" s="82">
        <v>167</v>
      </c>
      <c r="I11" s="82">
        <v>3.34</v>
      </c>
      <c r="J11" s="82" t="s">
        <v>385</v>
      </c>
      <c r="K11" s="131"/>
      <c r="L11" s="131"/>
    </row>
    <row r="12" spans="1:12" ht="55.2" x14ac:dyDescent="0.25">
      <c r="A12" s="226"/>
      <c r="B12" s="132" t="s">
        <v>351</v>
      </c>
      <c r="C12" s="82">
        <v>1</v>
      </c>
      <c r="D12" s="82">
        <v>21</v>
      </c>
      <c r="E12" s="82">
        <v>24</v>
      </c>
      <c r="F12" s="82">
        <v>4</v>
      </c>
      <c r="G12" s="82">
        <v>0</v>
      </c>
      <c r="H12" s="82">
        <v>169</v>
      </c>
      <c r="I12" s="82">
        <v>3.38</v>
      </c>
      <c r="J12" s="82" t="s">
        <v>385</v>
      </c>
      <c r="K12" s="131"/>
      <c r="L12" s="131"/>
    </row>
    <row r="13" spans="1:12" ht="69" x14ac:dyDescent="0.25">
      <c r="A13" s="226" t="s">
        <v>393</v>
      </c>
      <c r="B13" s="132" t="s">
        <v>352</v>
      </c>
      <c r="C13" s="82">
        <v>3</v>
      </c>
      <c r="D13" s="82">
        <v>22</v>
      </c>
      <c r="E13" s="82">
        <v>21</v>
      </c>
      <c r="F13" s="82">
        <v>4</v>
      </c>
      <c r="G13" s="82">
        <v>0</v>
      </c>
      <c r="H13" s="82">
        <v>174</v>
      </c>
      <c r="I13" s="82">
        <v>3.48</v>
      </c>
      <c r="J13" s="82" t="s">
        <v>384</v>
      </c>
      <c r="K13" s="131"/>
      <c r="L13" s="131"/>
    </row>
    <row r="14" spans="1:12" ht="55.2" x14ac:dyDescent="0.25">
      <c r="A14" s="226"/>
      <c r="B14" s="132" t="s">
        <v>353</v>
      </c>
      <c r="C14" s="82">
        <v>2</v>
      </c>
      <c r="D14" s="82">
        <v>20</v>
      </c>
      <c r="E14" s="82">
        <v>24</v>
      </c>
      <c r="F14" s="82">
        <v>4</v>
      </c>
      <c r="G14" s="82">
        <v>0</v>
      </c>
      <c r="H14" s="82">
        <v>170</v>
      </c>
      <c r="I14" s="82">
        <v>3.4</v>
      </c>
      <c r="J14" s="82" t="s">
        <v>385</v>
      </c>
      <c r="K14" s="131"/>
      <c r="L14" s="131"/>
    </row>
    <row r="15" spans="1:12" ht="55.2" x14ac:dyDescent="0.25">
      <c r="A15" s="226"/>
      <c r="B15" s="132" t="s">
        <v>354</v>
      </c>
      <c r="C15" s="82">
        <v>4</v>
      </c>
      <c r="D15" s="82">
        <v>21</v>
      </c>
      <c r="E15" s="82">
        <v>22</v>
      </c>
      <c r="F15" s="82">
        <v>3</v>
      </c>
      <c r="G15" s="82">
        <v>0</v>
      </c>
      <c r="H15" s="82">
        <v>176</v>
      </c>
      <c r="I15" s="82">
        <v>3.52</v>
      </c>
      <c r="J15" s="82" t="s">
        <v>384</v>
      </c>
      <c r="K15" s="131"/>
      <c r="L15" s="131"/>
    </row>
    <row r="16" spans="1:12" ht="41.4" x14ac:dyDescent="0.25">
      <c r="A16" s="226" t="s">
        <v>361</v>
      </c>
      <c r="B16" s="132" t="s">
        <v>355</v>
      </c>
      <c r="C16" s="82">
        <v>2</v>
      </c>
      <c r="D16" s="82">
        <v>24</v>
      </c>
      <c r="E16" s="82">
        <v>21</v>
      </c>
      <c r="F16" s="82">
        <v>3</v>
      </c>
      <c r="G16" s="82">
        <v>0</v>
      </c>
      <c r="H16" s="82">
        <v>175</v>
      </c>
      <c r="I16" s="82">
        <v>3.5</v>
      </c>
      <c r="J16" s="82" t="s">
        <v>384</v>
      </c>
      <c r="K16" s="131"/>
      <c r="L16" s="131"/>
    </row>
    <row r="17" spans="1:12" ht="41.4" x14ac:dyDescent="0.25">
      <c r="A17" s="226"/>
      <c r="B17" s="132" t="s">
        <v>356</v>
      </c>
      <c r="C17" s="82">
        <v>4</v>
      </c>
      <c r="D17" s="82">
        <v>20</v>
      </c>
      <c r="E17" s="82">
        <v>23</v>
      </c>
      <c r="F17" s="82">
        <v>3</v>
      </c>
      <c r="G17" s="82">
        <v>0</v>
      </c>
      <c r="H17" s="82">
        <v>175</v>
      </c>
      <c r="I17" s="82">
        <v>3.5</v>
      </c>
      <c r="J17" s="82" t="s">
        <v>384</v>
      </c>
      <c r="K17" s="131"/>
      <c r="L17" s="131"/>
    </row>
    <row r="18" spans="1:12" ht="69.599999999999994" customHeight="1" x14ac:dyDescent="0.25">
      <c r="A18" s="226"/>
      <c r="B18" s="132" t="s">
        <v>357</v>
      </c>
      <c r="C18" s="82">
        <v>3</v>
      </c>
      <c r="D18" s="82">
        <v>22</v>
      </c>
      <c r="E18" s="82">
        <v>22</v>
      </c>
      <c r="F18" s="82">
        <v>3</v>
      </c>
      <c r="G18" s="82">
        <v>0</v>
      </c>
      <c r="H18" s="82">
        <v>175</v>
      </c>
      <c r="I18" s="82">
        <v>3.5</v>
      </c>
      <c r="J18" s="82" t="s">
        <v>384</v>
      </c>
      <c r="K18" s="133"/>
      <c r="L18" s="133"/>
    </row>
    <row r="19" spans="1:12" x14ac:dyDescent="0.25">
      <c r="A19" s="226" t="s">
        <v>41</v>
      </c>
      <c r="B19" s="226"/>
      <c r="C19" s="134">
        <v>35</v>
      </c>
      <c r="D19" s="134">
        <v>320</v>
      </c>
      <c r="E19" s="134">
        <v>344</v>
      </c>
      <c r="F19" s="134">
        <v>54</v>
      </c>
      <c r="G19" s="134">
        <v>0</v>
      </c>
      <c r="H19" s="229"/>
      <c r="I19" s="229"/>
      <c r="J19" s="229"/>
    </row>
    <row r="20" spans="1:12" x14ac:dyDescent="0.25">
      <c r="A20" s="226" t="s">
        <v>237</v>
      </c>
      <c r="B20" s="226"/>
      <c r="C20" s="135">
        <v>4.65E-2</v>
      </c>
      <c r="D20" s="135">
        <v>0.42499999999999999</v>
      </c>
      <c r="E20" s="135">
        <v>0.45679999999999998</v>
      </c>
      <c r="F20" s="135">
        <v>7.17E-2</v>
      </c>
      <c r="G20" s="136">
        <v>0</v>
      </c>
      <c r="H20" s="229"/>
      <c r="I20" s="229"/>
      <c r="J20" s="229"/>
    </row>
    <row r="21" spans="1:12" x14ac:dyDescent="0.25">
      <c r="A21" s="226" t="s">
        <v>389</v>
      </c>
      <c r="B21" s="226"/>
      <c r="C21" s="228">
        <v>3.45</v>
      </c>
      <c r="D21" s="228"/>
      <c r="E21" s="228"/>
      <c r="F21" s="228"/>
      <c r="G21" s="228"/>
      <c r="H21" s="229"/>
      <c r="I21" s="229"/>
      <c r="J21" s="229"/>
    </row>
    <row r="22" spans="1:12" ht="14.4" customHeight="1" x14ac:dyDescent="0.25">
      <c r="A22" s="226" t="s">
        <v>386</v>
      </c>
      <c r="B22" s="226"/>
      <c r="C22" s="228">
        <v>0.65</v>
      </c>
      <c r="D22" s="228"/>
      <c r="E22" s="228"/>
      <c r="F22" s="228"/>
      <c r="G22" s="228"/>
      <c r="H22" s="229"/>
      <c r="I22" s="229"/>
      <c r="J22" s="229"/>
    </row>
    <row r="23" spans="1:12" ht="14.4" customHeight="1" x14ac:dyDescent="0.25">
      <c r="A23" s="226" t="s">
        <v>387</v>
      </c>
      <c r="B23" s="226"/>
      <c r="C23" s="228" t="s">
        <v>390</v>
      </c>
      <c r="D23" s="228"/>
      <c r="E23" s="228"/>
      <c r="F23" s="228"/>
      <c r="G23" s="228"/>
      <c r="H23" s="229"/>
      <c r="I23" s="229"/>
      <c r="J23" s="229"/>
    </row>
    <row r="24" spans="1:12" x14ac:dyDescent="0.25">
      <c r="A24" s="226" t="s">
        <v>388</v>
      </c>
      <c r="B24" s="226"/>
      <c r="C24" s="228" t="s">
        <v>384</v>
      </c>
      <c r="D24" s="228"/>
      <c r="E24" s="228"/>
      <c r="F24" s="228"/>
      <c r="G24" s="228"/>
      <c r="H24" s="229"/>
      <c r="I24" s="229"/>
      <c r="J24" s="229"/>
    </row>
    <row r="28" spans="1:12" x14ac:dyDescent="0.25">
      <c r="A28" s="227" t="s">
        <v>335</v>
      </c>
      <c r="B28" s="227" t="s">
        <v>336</v>
      </c>
      <c r="C28" s="227" t="s">
        <v>337</v>
      </c>
      <c r="D28" s="227"/>
      <c r="E28" s="227"/>
      <c r="F28" s="227"/>
      <c r="G28" s="227"/>
      <c r="H28" s="227" t="s">
        <v>343</v>
      </c>
      <c r="I28" s="227" t="s">
        <v>344</v>
      </c>
      <c r="J28" s="227" t="s">
        <v>345</v>
      </c>
    </row>
    <row r="29" spans="1:12" x14ac:dyDescent="0.25">
      <c r="A29" s="227"/>
      <c r="B29" s="227"/>
      <c r="C29" s="137" t="s">
        <v>338</v>
      </c>
      <c r="D29" s="137" t="s">
        <v>339</v>
      </c>
      <c r="E29" s="137" t="s">
        <v>340</v>
      </c>
      <c r="F29" s="137" t="s">
        <v>341</v>
      </c>
      <c r="G29" s="137" t="s">
        <v>342</v>
      </c>
      <c r="H29" s="227"/>
      <c r="I29" s="227"/>
      <c r="J29" s="227"/>
    </row>
    <row r="30" spans="1:12" x14ac:dyDescent="0.25">
      <c r="A30" s="227"/>
      <c r="B30" s="227"/>
      <c r="C30" s="77">
        <v>5</v>
      </c>
      <c r="D30" s="77">
        <v>4</v>
      </c>
      <c r="E30" s="77">
        <v>3</v>
      </c>
      <c r="F30" s="77">
        <v>2</v>
      </c>
      <c r="G30" s="77">
        <v>1</v>
      </c>
      <c r="H30" s="227"/>
      <c r="I30" s="227"/>
      <c r="J30" s="227"/>
    </row>
    <row r="31" spans="1:12" ht="69" x14ac:dyDescent="0.25">
      <c r="A31" s="226" t="s">
        <v>362</v>
      </c>
      <c r="B31" s="132" t="s">
        <v>363</v>
      </c>
      <c r="C31" s="82">
        <v>4</v>
      </c>
      <c r="D31" s="82">
        <v>22</v>
      </c>
      <c r="E31" s="82">
        <v>24</v>
      </c>
      <c r="F31" s="82">
        <v>0</v>
      </c>
      <c r="G31" s="82">
        <v>0</v>
      </c>
      <c r="H31" s="82">
        <v>180</v>
      </c>
      <c r="I31" s="82">
        <v>3.6</v>
      </c>
      <c r="J31" s="82" t="s">
        <v>384</v>
      </c>
    </row>
    <row r="32" spans="1:12" ht="69" x14ac:dyDescent="0.25">
      <c r="A32" s="226"/>
      <c r="B32" s="132" t="s">
        <v>364</v>
      </c>
      <c r="C32" s="82">
        <v>7</v>
      </c>
      <c r="D32" s="82">
        <v>20</v>
      </c>
      <c r="E32" s="82">
        <v>22</v>
      </c>
      <c r="F32" s="82">
        <v>1</v>
      </c>
      <c r="G32" s="82">
        <v>0</v>
      </c>
      <c r="H32" s="82">
        <v>183</v>
      </c>
      <c r="I32" s="82">
        <v>3.66</v>
      </c>
      <c r="J32" s="82" t="s">
        <v>384</v>
      </c>
    </row>
    <row r="33" spans="1:10" ht="55.2" x14ac:dyDescent="0.25">
      <c r="A33" s="226"/>
      <c r="B33" s="132" t="s">
        <v>365</v>
      </c>
      <c r="C33" s="82">
        <v>4</v>
      </c>
      <c r="D33" s="82">
        <v>22</v>
      </c>
      <c r="E33" s="82">
        <v>24</v>
      </c>
      <c r="F33" s="82">
        <v>0</v>
      </c>
      <c r="G33" s="82">
        <v>0</v>
      </c>
      <c r="H33" s="82">
        <v>180</v>
      </c>
      <c r="I33" s="82">
        <v>3.6</v>
      </c>
      <c r="J33" s="82" t="s">
        <v>384</v>
      </c>
    </row>
    <row r="34" spans="1:10" ht="55.2" x14ac:dyDescent="0.25">
      <c r="A34" s="226" t="s">
        <v>373</v>
      </c>
      <c r="B34" s="132" t="s">
        <v>366</v>
      </c>
      <c r="C34" s="82">
        <v>5</v>
      </c>
      <c r="D34" s="82">
        <v>21</v>
      </c>
      <c r="E34" s="82">
        <v>22</v>
      </c>
      <c r="F34" s="82">
        <v>2</v>
      </c>
      <c r="G34" s="82">
        <v>0</v>
      </c>
      <c r="H34" s="82">
        <v>179</v>
      </c>
      <c r="I34" s="82">
        <v>3.58</v>
      </c>
      <c r="J34" s="82" t="s">
        <v>384</v>
      </c>
    </row>
    <row r="35" spans="1:10" ht="55.2" x14ac:dyDescent="0.25">
      <c r="A35" s="226"/>
      <c r="B35" s="132" t="s">
        <v>367</v>
      </c>
      <c r="C35" s="82">
        <v>6</v>
      </c>
      <c r="D35" s="82">
        <v>20</v>
      </c>
      <c r="E35" s="82">
        <v>22</v>
      </c>
      <c r="F35" s="82">
        <v>2</v>
      </c>
      <c r="G35" s="82">
        <v>0</v>
      </c>
      <c r="H35" s="82">
        <v>180</v>
      </c>
      <c r="I35" s="82">
        <v>3.6</v>
      </c>
      <c r="J35" s="82" t="s">
        <v>384</v>
      </c>
    </row>
    <row r="36" spans="1:10" ht="82.8" x14ac:dyDescent="0.25">
      <c r="A36" s="226"/>
      <c r="B36" s="132" t="s">
        <v>368</v>
      </c>
      <c r="C36" s="82">
        <v>2</v>
      </c>
      <c r="D36" s="82">
        <v>25</v>
      </c>
      <c r="E36" s="82">
        <v>21</v>
      </c>
      <c r="F36" s="82">
        <v>2</v>
      </c>
      <c r="G36" s="82">
        <v>0</v>
      </c>
      <c r="H36" s="82">
        <v>177</v>
      </c>
      <c r="I36" s="82">
        <v>3.54</v>
      </c>
      <c r="J36" s="82" t="s">
        <v>384</v>
      </c>
    </row>
    <row r="37" spans="1:10" ht="82.8" x14ac:dyDescent="0.25">
      <c r="A37" s="226" t="s">
        <v>372</v>
      </c>
      <c r="B37" s="132" t="s">
        <v>369</v>
      </c>
      <c r="C37" s="82">
        <v>3</v>
      </c>
      <c r="D37" s="82">
        <v>24</v>
      </c>
      <c r="E37" s="82">
        <v>22</v>
      </c>
      <c r="F37" s="82">
        <v>1</v>
      </c>
      <c r="G37" s="82">
        <v>0</v>
      </c>
      <c r="H37" s="82">
        <v>179</v>
      </c>
      <c r="I37" s="82">
        <v>3.58</v>
      </c>
      <c r="J37" s="82" t="s">
        <v>384</v>
      </c>
    </row>
    <row r="38" spans="1:10" ht="41.4" x14ac:dyDescent="0.25">
      <c r="A38" s="226"/>
      <c r="B38" s="132" t="s">
        <v>370</v>
      </c>
      <c r="C38" s="82">
        <v>7</v>
      </c>
      <c r="D38" s="82">
        <v>18</v>
      </c>
      <c r="E38" s="82">
        <v>23</v>
      </c>
      <c r="F38" s="82">
        <v>2</v>
      </c>
      <c r="G38" s="82">
        <v>0</v>
      </c>
      <c r="H38" s="82">
        <v>180</v>
      </c>
      <c r="I38" s="82">
        <v>3.6</v>
      </c>
      <c r="J38" s="82" t="s">
        <v>384</v>
      </c>
    </row>
    <row r="39" spans="1:10" ht="69" x14ac:dyDescent="0.25">
      <c r="A39" s="226"/>
      <c r="B39" s="132" t="s">
        <v>371</v>
      </c>
      <c r="C39" s="82">
        <v>7</v>
      </c>
      <c r="D39" s="82">
        <v>20</v>
      </c>
      <c r="E39" s="82">
        <v>20</v>
      </c>
      <c r="F39" s="82">
        <v>3</v>
      </c>
      <c r="G39" s="82">
        <v>0</v>
      </c>
      <c r="H39" s="82">
        <v>181</v>
      </c>
      <c r="I39" s="82">
        <v>3.62</v>
      </c>
      <c r="J39" s="82" t="s">
        <v>384</v>
      </c>
    </row>
    <row r="40" spans="1:10" x14ac:dyDescent="0.25">
      <c r="A40" s="226" t="s">
        <v>41</v>
      </c>
      <c r="B40" s="226"/>
      <c r="C40" s="80">
        <v>45</v>
      </c>
      <c r="D40" s="80">
        <v>192</v>
      </c>
      <c r="E40" s="80">
        <v>200</v>
      </c>
      <c r="F40" s="80">
        <v>13</v>
      </c>
      <c r="G40" s="80">
        <v>0</v>
      </c>
      <c r="H40" s="230"/>
      <c r="I40" s="230"/>
      <c r="J40" s="230"/>
    </row>
    <row r="41" spans="1:10" x14ac:dyDescent="0.25">
      <c r="A41" s="226" t="s">
        <v>237</v>
      </c>
      <c r="B41" s="226"/>
      <c r="C41" s="138">
        <v>0.1</v>
      </c>
      <c r="D41" s="138">
        <v>0.42670000000000002</v>
      </c>
      <c r="E41" s="138">
        <v>0.44440000000000002</v>
      </c>
      <c r="F41" s="138">
        <v>2.8899999999999999E-2</v>
      </c>
      <c r="G41" s="139">
        <v>0</v>
      </c>
      <c r="H41" s="230"/>
      <c r="I41" s="230"/>
      <c r="J41" s="230"/>
    </row>
    <row r="42" spans="1:10" x14ac:dyDescent="0.25">
      <c r="A42" s="226" t="s">
        <v>389</v>
      </c>
      <c r="B42" s="226"/>
      <c r="C42" s="228">
        <v>3.6</v>
      </c>
      <c r="D42" s="228"/>
      <c r="E42" s="228"/>
      <c r="F42" s="228"/>
      <c r="G42" s="228"/>
      <c r="H42" s="230"/>
      <c r="I42" s="230"/>
      <c r="J42" s="230"/>
    </row>
    <row r="43" spans="1:10" x14ac:dyDescent="0.25">
      <c r="A43" s="226" t="s">
        <v>386</v>
      </c>
      <c r="B43" s="226"/>
      <c r="C43" s="228">
        <v>0.68</v>
      </c>
      <c r="D43" s="228"/>
      <c r="E43" s="228"/>
      <c r="F43" s="228"/>
      <c r="G43" s="228"/>
      <c r="H43" s="230"/>
      <c r="I43" s="230"/>
      <c r="J43" s="230"/>
    </row>
    <row r="44" spans="1:10" ht="14.4" customHeight="1" x14ac:dyDescent="0.25">
      <c r="A44" s="226" t="s">
        <v>387</v>
      </c>
      <c r="B44" s="226"/>
      <c r="C44" s="228" t="s">
        <v>391</v>
      </c>
      <c r="D44" s="228"/>
      <c r="E44" s="228"/>
      <c r="F44" s="228"/>
      <c r="G44" s="228"/>
      <c r="H44" s="230"/>
      <c r="I44" s="230"/>
      <c r="J44" s="230"/>
    </row>
    <row r="45" spans="1:10" x14ac:dyDescent="0.25">
      <c r="A45" s="226" t="s">
        <v>388</v>
      </c>
      <c r="B45" s="226"/>
      <c r="C45" s="228" t="s">
        <v>384</v>
      </c>
      <c r="D45" s="228"/>
      <c r="E45" s="228"/>
      <c r="F45" s="228"/>
      <c r="G45" s="228"/>
      <c r="H45" s="230"/>
      <c r="I45" s="230"/>
      <c r="J45" s="230"/>
    </row>
    <row r="49" spans="1:10" x14ac:dyDescent="0.25">
      <c r="A49" s="227" t="s">
        <v>335</v>
      </c>
      <c r="B49" s="227" t="s">
        <v>336</v>
      </c>
      <c r="C49" s="227" t="s">
        <v>337</v>
      </c>
      <c r="D49" s="227"/>
      <c r="E49" s="227"/>
      <c r="F49" s="227"/>
      <c r="G49" s="227"/>
      <c r="H49" s="227" t="s">
        <v>343</v>
      </c>
      <c r="I49" s="227" t="s">
        <v>344</v>
      </c>
      <c r="J49" s="227" t="s">
        <v>345</v>
      </c>
    </row>
    <row r="50" spans="1:10" x14ac:dyDescent="0.25">
      <c r="A50" s="227"/>
      <c r="B50" s="227"/>
      <c r="C50" s="137" t="s">
        <v>338</v>
      </c>
      <c r="D50" s="137" t="s">
        <v>339</v>
      </c>
      <c r="E50" s="137" t="s">
        <v>340</v>
      </c>
      <c r="F50" s="137" t="s">
        <v>341</v>
      </c>
      <c r="G50" s="137" t="s">
        <v>342</v>
      </c>
      <c r="H50" s="227"/>
      <c r="I50" s="227"/>
      <c r="J50" s="227"/>
    </row>
    <row r="51" spans="1:10" x14ac:dyDescent="0.25">
      <c r="A51" s="227"/>
      <c r="B51" s="227"/>
      <c r="C51" s="77">
        <v>5</v>
      </c>
      <c r="D51" s="77">
        <v>4</v>
      </c>
      <c r="E51" s="77">
        <v>3</v>
      </c>
      <c r="F51" s="77">
        <v>2</v>
      </c>
      <c r="G51" s="77">
        <v>1</v>
      </c>
      <c r="H51" s="227"/>
      <c r="I51" s="227"/>
      <c r="J51" s="227"/>
    </row>
    <row r="52" spans="1:10" ht="69" x14ac:dyDescent="0.25">
      <c r="A52" s="226" t="s">
        <v>379</v>
      </c>
      <c r="B52" s="132" t="s">
        <v>374</v>
      </c>
      <c r="C52" s="82">
        <v>12</v>
      </c>
      <c r="D52" s="82">
        <v>25</v>
      </c>
      <c r="E52" s="82">
        <v>13</v>
      </c>
      <c r="F52" s="82">
        <v>0</v>
      </c>
      <c r="G52" s="82">
        <v>0</v>
      </c>
      <c r="H52" s="132">
        <v>199</v>
      </c>
      <c r="I52" s="82">
        <v>3.98</v>
      </c>
      <c r="J52" s="82" t="s">
        <v>384</v>
      </c>
    </row>
    <row r="53" spans="1:10" ht="82.8" x14ac:dyDescent="0.25">
      <c r="A53" s="226"/>
      <c r="B53" s="132" t="s">
        <v>375</v>
      </c>
      <c r="C53" s="82">
        <v>10</v>
      </c>
      <c r="D53" s="82">
        <v>29</v>
      </c>
      <c r="E53" s="82">
        <v>11</v>
      </c>
      <c r="F53" s="82">
        <v>0</v>
      </c>
      <c r="G53" s="82">
        <v>0</v>
      </c>
      <c r="H53" s="132">
        <v>199</v>
      </c>
      <c r="I53" s="82">
        <v>3.98</v>
      </c>
      <c r="J53" s="82" t="s">
        <v>384</v>
      </c>
    </row>
    <row r="54" spans="1:10" ht="82.8" x14ac:dyDescent="0.25">
      <c r="A54" s="226"/>
      <c r="B54" s="132" t="s">
        <v>376</v>
      </c>
      <c r="C54" s="82">
        <v>12</v>
      </c>
      <c r="D54" s="82">
        <v>24</v>
      </c>
      <c r="E54" s="82">
        <v>13</v>
      </c>
      <c r="F54" s="82">
        <v>1</v>
      </c>
      <c r="G54" s="82">
        <v>0</v>
      </c>
      <c r="H54" s="132">
        <v>197</v>
      </c>
      <c r="I54" s="82">
        <v>3.94</v>
      </c>
      <c r="J54" s="82" t="s">
        <v>384</v>
      </c>
    </row>
    <row r="55" spans="1:10" ht="82.8" x14ac:dyDescent="0.25">
      <c r="A55" s="226" t="s">
        <v>380</v>
      </c>
      <c r="B55" s="132" t="s">
        <v>377</v>
      </c>
      <c r="C55" s="82">
        <v>11</v>
      </c>
      <c r="D55" s="82">
        <v>23</v>
      </c>
      <c r="E55" s="82">
        <v>15</v>
      </c>
      <c r="F55" s="82">
        <v>1</v>
      </c>
      <c r="G55" s="82">
        <v>0</v>
      </c>
      <c r="H55" s="132">
        <v>194</v>
      </c>
      <c r="I55" s="82">
        <v>3.88</v>
      </c>
      <c r="J55" s="82" t="s">
        <v>384</v>
      </c>
    </row>
    <row r="56" spans="1:10" ht="110.4" x14ac:dyDescent="0.25">
      <c r="A56" s="226"/>
      <c r="B56" s="132" t="s">
        <v>378</v>
      </c>
      <c r="C56" s="82">
        <v>15</v>
      </c>
      <c r="D56" s="82">
        <v>24</v>
      </c>
      <c r="E56" s="82">
        <v>11</v>
      </c>
      <c r="F56" s="82">
        <v>0</v>
      </c>
      <c r="G56" s="82">
        <v>0</v>
      </c>
      <c r="H56" s="132">
        <v>204</v>
      </c>
      <c r="I56" s="82">
        <v>4.08</v>
      </c>
      <c r="J56" s="82" t="s">
        <v>384</v>
      </c>
    </row>
    <row r="57" spans="1:10" ht="96.6" x14ac:dyDescent="0.25">
      <c r="A57" s="226"/>
      <c r="B57" s="132" t="s">
        <v>147</v>
      </c>
      <c r="C57" s="82">
        <v>17</v>
      </c>
      <c r="D57" s="82">
        <v>21</v>
      </c>
      <c r="E57" s="82">
        <v>11</v>
      </c>
      <c r="F57" s="82">
        <v>1</v>
      </c>
      <c r="G57" s="82">
        <v>0</v>
      </c>
      <c r="H57" s="132">
        <v>204</v>
      </c>
      <c r="I57" s="82">
        <v>4.08</v>
      </c>
      <c r="J57" s="82" t="s">
        <v>384</v>
      </c>
    </row>
    <row r="58" spans="1:10" x14ac:dyDescent="0.25">
      <c r="A58" s="226" t="s">
        <v>41</v>
      </c>
      <c r="B58" s="226"/>
      <c r="C58" s="80">
        <v>77</v>
      </c>
      <c r="D58" s="80">
        <v>146</v>
      </c>
      <c r="E58" s="80">
        <v>74</v>
      </c>
      <c r="F58" s="80">
        <v>3</v>
      </c>
      <c r="G58" s="80">
        <v>0</v>
      </c>
      <c r="H58" s="230"/>
      <c r="I58" s="230"/>
      <c r="J58" s="230"/>
    </row>
    <row r="59" spans="1:10" x14ac:dyDescent="0.25">
      <c r="A59" s="226" t="s">
        <v>237</v>
      </c>
      <c r="B59" s="226"/>
      <c r="C59" s="138">
        <v>0.25669999999999998</v>
      </c>
      <c r="D59" s="138">
        <v>0.48670000000000002</v>
      </c>
      <c r="E59" s="138">
        <v>0.2467</v>
      </c>
      <c r="F59" s="138">
        <v>0.01</v>
      </c>
      <c r="G59" s="139">
        <v>0</v>
      </c>
      <c r="H59" s="230"/>
      <c r="I59" s="230"/>
      <c r="J59" s="230"/>
    </row>
    <row r="60" spans="1:10" x14ac:dyDescent="0.25">
      <c r="A60" s="226" t="s">
        <v>389</v>
      </c>
      <c r="B60" s="226"/>
      <c r="C60" s="228">
        <v>3.99</v>
      </c>
      <c r="D60" s="228"/>
      <c r="E60" s="228"/>
      <c r="F60" s="228"/>
      <c r="G60" s="228"/>
      <c r="H60" s="230"/>
      <c r="I60" s="230"/>
      <c r="J60" s="230"/>
    </row>
    <row r="61" spans="1:10" x14ac:dyDescent="0.25">
      <c r="A61" s="226" t="s">
        <v>386</v>
      </c>
      <c r="B61" s="226"/>
      <c r="C61" s="228">
        <v>0.74</v>
      </c>
      <c r="D61" s="228"/>
      <c r="E61" s="228"/>
      <c r="F61" s="228"/>
      <c r="G61" s="228"/>
      <c r="H61" s="230"/>
      <c r="I61" s="230"/>
      <c r="J61" s="230"/>
    </row>
    <row r="62" spans="1:10" ht="14.4" customHeight="1" x14ac:dyDescent="0.25">
      <c r="A62" s="226" t="s">
        <v>387</v>
      </c>
      <c r="B62" s="226"/>
      <c r="C62" s="228" t="s">
        <v>392</v>
      </c>
      <c r="D62" s="228"/>
      <c r="E62" s="228"/>
      <c r="F62" s="228"/>
      <c r="G62" s="228"/>
      <c r="H62" s="230"/>
      <c r="I62" s="230"/>
      <c r="J62" s="230"/>
    </row>
    <row r="63" spans="1:10" x14ac:dyDescent="0.25">
      <c r="A63" s="226" t="s">
        <v>388</v>
      </c>
      <c r="B63" s="226"/>
      <c r="C63" s="228" t="s">
        <v>384</v>
      </c>
      <c r="D63" s="228"/>
      <c r="E63" s="228"/>
      <c r="F63" s="228"/>
      <c r="G63" s="228"/>
      <c r="H63" s="230"/>
      <c r="I63" s="230"/>
      <c r="J63" s="230"/>
    </row>
  </sheetData>
  <mergeCells count="61">
    <mergeCell ref="A1:A3"/>
    <mergeCell ref="A4:A6"/>
    <mergeCell ref="A7:A9"/>
    <mergeCell ref="A10:A12"/>
    <mergeCell ref="A13:A15"/>
    <mergeCell ref="C28:G28"/>
    <mergeCell ref="H28:H30"/>
    <mergeCell ref="I28:I30"/>
    <mergeCell ref="J28:J30"/>
    <mergeCell ref="B1:B3"/>
    <mergeCell ref="C1:G1"/>
    <mergeCell ref="H1:H3"/>
    <mergeCell ref="I1:I3"/>
    <mergeCell ref="J1:J3"/>
    <mergeCell ref="C21:G21"/>
    <mergeCell ref="C22:G22"/>
    <mergeCell ref="C23:G23"/>
    <mergeCell ref="C49:G49"/>
    <mergeCell ref="H49:H51"/>
    <mergeCell ref="I49:I51"/>
    <mergeCell ref="J49:J51"/>
    <mergeCell ref="H40:J45"/>
    <mergeCell ref="C42:G42"/>
    <mergeCell ref="C43:G43"/>
    <mergeCell ref="C44:G44"/>
    <mergeCell ref="C45:G45"/>
    <mergeCell ref="C60:G60"/>
    <mergeCell ref="C61:G61"/>
    <mergeCell ref="C62:G62"/>
    <mergeCell ref="C63:G63"/>
    <mergeCell ref="H58:J63"/>
    <mergeCell ref="C24:G24"/>
    <mergeCell ref="H19:J24"/>
    <mergeCell ref="A16:A18"/>
    <mergeCell ref="A19:B19"/>
    <mergeCell ref="A20:B20"/>
    <mergeCell ref="A21:B21"/>
    <mergeCell ref="A22:B22"/>
    <mergeCell ref="A23:B23"/>
    <mergeCell ref="A24:B24"/>
    <mergeCell ref="A28:A30"/>
    <mergeCell ref="A31:A33"/>
    <mergeCell ref="A34:A36"/>
    <mergeCell ref="A37:A39"/>
    <mergeCell ref="A40:B40"/>
    <mergeCell ref="B28:B30"/>
    <mergeCell ref="A41:B41"/>
    <mergeCell ref="A42:B42"/>
    <mergeCell ref="A43:B43"/>
    <mergeCell ref="A44:B44"/>
    <mergeCell ref="A45:B45"/>
    <mergeCell ref="A60:B60"/>
    <mergeCell ref="A61:B61"/>
    <mergeCell ref="A62:B62"/>
    <mergeCell ref="A63:B63"/>
    <mergeCell ref="A49:A51"/>
    <mergeCell ref="A52:A54"/>
    <mergeCell ref="A55:A57"/>
    <mergeCell ref="A58:B58"/>
    <mergeCell ref="A59:B59"/>
    <mergeCell ref="B49:B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5466-BABF-4134-9A09-E77EF8C6A2F3}">
  <dimension ref="A1:D66"/>
  <sheetViews>
    <sheetView topLeftCell="B1" workbookViewId="0">
      <selection activeCell="M8" sqref="M8"/>
    </sheetView>
  </sheetViews>
  <sheetFormatPr defaultRowHeight="14.4" x14ac:dyDescent="0.3"/>
  <cols>
    <col min="1" max="1" width="4.33203125" customWidth="1"/>
    <col min="2" max="2" width="20.21875" customWidth="1"/>
    <col min="3" max="3" width="10.33203125" customWidth="1"/>
    <col min="4" max="4" width="12.44140625" customWidth="1"/>
    <col min="11" max="11" width="8.88671875" customWidth="1"/>
    <col min="12" max="12" width="11.33203125" customWidth="1"/>
    <col min="13" max="16" width="11.77734375" customWidth="1"/>
  </cols>
  <sheetData>
    <row r="1" spans="1:4" x14ac:dyDescent="0.3">
      <c r="A1" s="66" t="s">
        <v>235</v>
      </c>
      <c r="B1" s="66" t="s">
        <v>266</v>
      </c>
      <c r="C1" s="66" t="s">
        <v>236</v>
      </c>
      <c r="D1" s="66" t="s">
        <v>237</v>
      </c>
    </row>
    <row r="2" spans="1:4" x14ac:dyDescent="0.3">
      <c r="A2" s="65">
        <v>1</v>
      </c>
      <c r="B2" s="64" t="s">
        <v>238</v>
      </c>
      <c r="C2" s="65">
        <v>28</v>
      </c>
      <c r="D2" s="67">
        <v>0.56000000000000005</v>
      </c>
    </row>
    <row r="3" spans="1:4" x14ac:dyDescent="0.3">
      <c r="A3" s="65">
        <v>2</v>
      </c>
      <c r="B3" s="64" t="s">
        <v>239</v>
      </c>
      <c r="C3" s="65">
        <v>22</v>
      </c>
      <c r="D3" s="67">
        <v>0.44</v>
      </c>
    </row>
    <row r="4" spans="1:4" x14ac:dyDescent="0.3">
      <c r="A4" s="196" t="s">
        <v>152</v>
      </c>
      <c r="B4" s="197"/>
      <c r="C4" s="68">
        <v>50</v>
      </c>
      <c r="D4" s="69">
        <v>1</v>
      </c>
    </row>
    <row r="13" spans="1:4" x14ac:dyDescent="0.3">
      <c r="A13" s="62" t="s">
        <v>235</v>
      </c>
      <c r="B13" s="62" t="s">
        <v>240</v>
      </c>
      <c r="C13" s="62" t="s">
        <v>236</v>
      </c>
      <c r="D13" s="62" t="s">
        <v>237</v>
      </c>
    </row>
    <row r="14" spans="1:4" x14ac:dyDescent="0.3">
      <c r="A14" s="70">
        <v>1</v>
      </c>
      <c r="B14" s="61" t="s">
        <v>241</v>
      </c>
      <c r="C14" s="70">
        <v>24</v>
      </c>
      <c r="D14" s="72">
        <v>0.48</v>
      </c>
    </row>
    <row r="15" spans="1:4" x14ac:dyDescent="0.3">
      <c r="A15" s="70">
        <v>2</v>
      </c>
      <c r="B15" s="61" t="s">
        <v>242</v>
      </c>
      <c r="C15" s="70">
        <v>17</v>
      </c>
      <c r="D15" s="72">
        <v>0.34</v>
      </c>
    </row>
    <row r="16" spans="1:4" x14ac:dyDescent="0.3">
      <c r="A16" s="70">
        <v>3</v>
      </c>
      <c r="B16" s="61" t="s">
        <v>243</v>
      </c>
      <c r="C16" s="70">
        <v>7</v>
      </c>
      <c r="D16" s="72">
        <v>0.14000000000000001</v>
      </c>
    </row>
    <row r="17" spans="1:4" x14ac:dyDescent="0.3">
      <c r="A17" s="70">
        <v>4</v>
      </c>
      <c r="B17" s="61" t="s">
        <v>244</v>
      </c>
      <c r="C17" s="70">
        <v>2</v>
      </c>
      <c r="D17" s="72">
        <v>0.04</v>
      </c>
    </row>
    <row r="18" spans="1:4" x14ac:dyDescent="0.3">
      <c r="A18" s="198" t="s">
        <v>152</v>
      </c>
      <c r="B18" s="199"/>
      <c r="C18" s="60">
        <v>50</v>
      </c>
      <c r="D18" s="63">
        <v>1</v>
      </c>
    </row>
    <row r="27" spans="1:4" x14ac:dyDescent="0.3">
      <c r="A27" s="62" t="s">
        <v>235</v>
      </c>
      <c r="B27" s="62" t="s">
        <v>245</v>
      </c>
      <c r="C27" s="62" t="s">
        <v>236</v>
      </c>
      <c r="D27" s="62" t="s">
        <v>237</v>
      </c>
    </row>
    <row r="28" spans="1:4" x14ac:dyDescent="0.3">
      <c r="A28" s="70">
        <v>1</v>
      </c>
      <c r="B28" s="61" t="s">
        <v>246</v>
      </c>
      <c r="C28" s="70">
        <v>9</v>
      </c>
      <c r="D28" s="72">
        <v>0.18</v>
      </c>
    </row>
    <row r="29" spans="1:4" x14ac:dyDescent="0.3">
      <c r="A29" s="70">
        <v>2</v>
      </c>
      <c r="B29" s="61" t="s">
        <v>247</v>
      </c>
      <c r="C29" s="70">
        <v>14</v>
      </c>
      <c r="D29" s="72">
        <v>0.28000000000000003</v>
      </c>
    </row>
    <row r="30" spans="1:4" x14ac:dyDescent="0.3">
      <c r="A30" s="70">
        <v>3</v>
      </c>
      <c r="B30" s="61" t="s">
        <v>248</v>
      </c>
      <c r="C30" s="70">
        <v>27</v>
      </c>
      <c r="D30" s="72">
        <v>0.54</v>
      </c>
    </row>
    <row r="31" spans="1:4" x14ac:dyDescent="0.3">
      <c r="A31" s="200" t="s">
        <v>152</v>
      </c>
      <c r="B31" s="200"/>
      <c r="C31" s="60">
        <v>50</v>
      </c>
      <c r="D31" s="63">
        <v>1</v>
      </c>
    </row>
    <row r="33" spans="1:4" x14ac:dyDescent="0.3">
      <c r="C33" s="70"/>
      <c r="D33" s="72">
        <v>0.54</v>
      </c>
    </row>
    <row r="38" spans="1:4" x14ac:dyDescent="0.3">
      <c r="A38" s="66" t="s">
        <v>235</v>
      </c>
      <c r="B38" s="66" t="s">
        <v>249</v>
      </c>
      <c r="C38" s="66" t="s">
        <v>236</v>
      </c>
      <c r="D38" s="66" t="s">
        <v>237</v>
      </c>
    </row>
    <row r="39" spans="1:4" x14ac:dyDescent="0.3">
      <c r="A39" s="64">
        <v>1</v>
      </c>
      <c r="B39" s="64" t="s">
        <v>250</v>
      </c>
      <c r="C39" s="64">
        <v>4</v>
      </c>
      <c r="D39" s="73">
        <v>0.08</v>
      </c>
    </row>
    <row r="40" spans="1:4" x14ac:dyDescent="0.3">
      <c r="A40" s="64">
        <v>2</v>
      </c>
      <c r="B40" s="64" t="s">
        <v>251</v>
      </c>
      <c r="C40" s="64">
        <v>28</v>
      </c>
      <c r="D40" s="73">
        <v>0.56000000000000005</v>
      </c>
    </row>
    <row r="41" spans="1:4" x14ac:dyDescent="0.3">
      <c r="A41" s="64">
        <v>3</v>
      </c>
      <c r="B41" s="64" t="s">
        <v>252</v>
      </c>
      <c r="C41" s="64">
        <v>16</v>
      </c>
      <c r="D41" s="73">
        <v>0.32</v>
      </c>
    </row>
    <row r="42" spans="1:4" x14ac:dyDescent="0.3">
      <c r="A42" s="64">
        <v>4</v>
      </c>
      <c r="B42" s="64" t="s">
        <v>253</v>
      </c>
      <c r="C42" s="64">
        <v>2</v>
      </c>
      <c r="D42" s="73">
        <v>0.04</v>
      </c>
    </row>
    <row r="43" spans="1:4" x14ac:dyDescent="0.3">
      <c r="A43" s="201" t="s">
        <v>152</v>
      </c>
      <c r="B43" s="202"/>
      <c r="C43" s="64">
        <v>50</v>
      </c>
      <c r="D43" s="73">
        <v>1</v>
      </c>
    </row>
    <row r="49" spans="1:4" x14ac:dyDescent="0.3">
      <c r="A49" s="71" t="s">
        <v>235</v>
      </c>
      <c r="B49" s="71" t="s">
        <v>254</v>
      </c>
      <c r="C49" s="60" t="s">
        <v>236</v>
      </c>
      <c r="D49" s="60" t="s">
        <v>237</v>
      </c>
    </row>
    <row r="50" spans="1:4" x14ac:dyDescent="0.3">
      <c r="A50" s="61">
        <v>1</v>
      </c>
      <c r="B50" s="61" t="s">
        <v>255</v>
      </c>
      <c r="C50" s="74">
        <v>8</v>
      </c>
      <c r="D50" s="75">
        <v>0.16</v>
      </c>
    </row>
    <row r="51" spans="1:4" x14ac:dyDescent="0.3">
      <c r="A51" s="61">
        <v>2</v>
      </c>
      <c r="B51" s="61" t="s">
        <v>256</v>
      </c>
      <c r="C51" s="74">
        <v>6</v>
      </c>
      <c r="D51" s="75">
        <v>0.12</v>
      </c>
    </row>
    <row r="52" spans="1:4" x14ac:dyDescent="0.3">
      <c r="A52" s="61">
        <v>3</v>
      </c>
      <c r="B52" s="61" t="s">
        <v>257</v>
      </c>
      <c r="C52" s="74">
        <v>10</v>
      </c>
      <c r="D52" s="75">
        <v>0.2</v>
      </c>
    </row>
    <row r="53" spans="1:4" x14ac:dyDescent="0.3">
      <c r="A53" s="61">
        <v>4</v>
      </c>
      <c r="B53" s="61" t="s">
        <v>258</v>
      </c>
      <c r="C53" s="74">
        <v>9</v>
      </c>
      <c r="D53" s="75">
        <v>0.18</v>
      </c>
    </row>
    <row r="54" spans="1:4" x14ac:dyDescent="0.3">
      <c r="A54" s="61">
        <v>5</v>
      </c>
      <c r="B54" s="61" t="s">
        <v>259</v>
      </c>
      <c r="C54" s="74">
        <v>7</v>
      </c>
      <c r="D54" s="75">
        <v>0.14000000000000001</v>
      </c>
    </row>
    <row r="55" spans="1:4" x14ac:dyDescent="0.3">
      <c r="A55" s="61">
        <v>6</v>
      </c>
      <c r="B55" s="61" t="s">
        <v>260</v>
      </c>
      <c r="C55" s="74">
        <v>5</v>
      </c>
      <c r="D55" s="75">
        <v>0.1</v>
      </c>
    </row>
    <row r="56" spans="1:4" x14ac:dyDescent="0.3">
      <c r="A56" s="61">
        <v>7</v>
      </c>
      <c r="B56" s="61" t="s">
        <v>261</v>
      </c>
      <c r="C56" s="74">
        <v>5</v>
      </c>
      <c r="D56" s="75">
        <v>0.1</v>
      </c>
    </row>
    <row r="57" spans="1:4" x14ac:dyDescent="0.3">
      <c r="A57" s="198" t="s">
        <v>152</v>
      </c>
      <c r="B57" s="199"/>
      <c r="C57" s="60">
        <v>50</v>
      </c>
      <c r="D57" s="63">
        <v>1</v>
      </c>
    </row>
    <row r="62" spans="1:4" x14ac:dyDescent="0.3">
      <c r="A62" s="71" t="s">
        <v>235</v>
      </c>
      <c r="B62" s="71" t="s">
        <v>262</v>
      </c>
      <c r="C62" s="60" t="s">
        <v>236</v>
      </c>
      <c r="D62" s="60" t="s">
        <v>237</v>
      </c>
    </row>
    <row r="63" spans="1:4" x14ac:dyDescent="0.3">
      <c r="A63" s="61">
        <v>1</v>
      </c>
      <c r="B63" s="61" t="s">
        <v>263</v>
      </c>
      <c r="C63" s="74">
        <v>5</v>
      </c>
      <c r="D63" s="75">
        <v>0.1</v>
      </c>
    </row>
    <row r="64" spans="1:4" x14ac:dyDescent="0.3">
      <c r="A64" s="61">
        <v>2</v>
      </c>
      <c r="B64" s="61" t="s">
        <v>264</v>
      </c>
      <c r="C64" s="74">
        <v>11</v>
      </c>
      <c r="D64" s="75">
        <v>0.22</v>
      </c>
    </row>
    <row r="65" spans="1:4" x14ac:dyDescent="0.3">
      <c r="A65" s="61">
        <v>3</v>
      </c>
      <c r="B65" s="61" t="s">
        <v>265</v>
      </c>
      <c r="C65" s="74">
        <v>34</v>
      </c>
      <c r="D65" s="75">
        <v>0.68</v>
      </c>
    </row>
    <row r="66" spans="1:4" x14ac:dyDescent="0.3">
      <c r="A66" s="198" t="s">
        <v>152</v>
      </c>
      <c r="B66" s="199"/>
      <c r="C66" s="60">
        <v>50</v>
      </c>
      <c r="D66" s="63">
        <v>1</v>
      </c>
    </row>
  </sheetData>
  <mergeCells count="6">
    <mergeCell ref="A4:B4"/>
    <mergeCell ref="A18:B18"/>
    <mergeCell ref="A31:B31"/>
    <mergeCell ref="A57:B57"/>
    <mergeCell ref="A66:B66"/>
    <mergeCell ref="A43:B4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760C-5E67-4126-8905-DAAD0A9DBE1E}">
  <dimension ref="A1:AU52"/>
  <sheetViews>
    <sheetView topLeftCell="M35" workbookViewId="0">
      <selection activeCell="P2" sqref="P2:P52"/>
    </sheetView>
  </sheetViews>
  <sheetFormatPr defaultRowHeight="14.4" x14ac:dyDescent="0.3"/>
  <cols>
    <col min="1" max="1" width="4.6640625" customWidth="1"/>
    <col min="2" max="2" width="4.33203125" customWidth="1"/>
    <col min="3" max="3" width="4.21875" customWidth="1"/>
    <col min="4" max="5" width="4.5546875" customWidth="1"/>
    <col min="6" max="9" width="4.6640625" customWidth="1"/>
    <col min="10" max="10" width="5.6640625" customWidth="1"/>
    <col min="11" max="11" width="5.44140625" customWidth="1"/>
    <col min="12" max="12" width="5.88671875" customWidth="1"/>
    <col min="13" max="14" width="5.77734375" customWidth="1"/>
    <col min="15" max="15" width="6.109375" customWidth="1"/>
    <col min="16" max="16" width="5.88671875" customWidth="1"/>
    <col min="30" max="30" width="13" customWidth="1"/>
    <col min="31" max="31" width="12.21875" customWidth="1"/>
    <col min="33" max="33" width="15.33203125" customWidth="1"/>
    <col min="34" max="34" width="12.88671875" customWidth="1"/>
    <col min="37" max="37" width="12.5546875" customWidth="1"/>
    <col min="38" max="38" width="12.109375" customWidth="1"/>
    <col min="40" max="40" width="13.5546875" customWidth="1"/>
    <col min="41" max="41" width="12.21875" customWidth="1"/>
    <col min="44" max="44" width="11.109375" customWidth="1"/>
    <col min="45" max="45" width="10.77734375" customWidth="1"/>
  </cols>
  <sheetData>
    <row r="1" spans="1:47" ht="15.6" x14ac:dyDescent="0.3">
      <c r="A1" s="231" t="s">
        <v>422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16"/>
      <c r="R1" s="237" t="s">
        <v>28</v>
      </c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2"/>
      <c r="AK1" s="235" t="s">
        <v>116</v>
      </c>
      <c r="AL1" s="235"/>
      <c r="AM1" s="235"/>
      <c r="AN1" s="235"/>
      <c r="AO1" s="235"/>
    </row>
    <row r="2" spans="1:47" ht="31.2" customHeight="1" x14ac:dyDescent="0.3">
      <c r="A2" s="168" t="s">
        <v>0</v>
      </c>
      <c r="B2" s="168" t="s">
        <v>1</v>
      </c>
      <c r="C2" s="168" t="s">
        <v>2</v>
      </c>
      <c r="D2" s="168" t="s">
        <v>3</v>
      </c>
      <c r="E2" s="168" t="s">
        <v>4</v>
      </c>
      <c r="F2" s="168" t="s">
        <v>5</v>
      </c>
      <c r="G2" s="168" t="s">
        <v>6</v>
      </c>
      <c r="H2" s="168" t="s">
        <v>7</v>
      </c>
      <c r="I2" s="168" t="s">
        <v>8</v>
      </c>
      <c r="J2" s="168" t="s">
        <v>9</v>
      </c>
      <c r="K2" s="168" t="s">
        <v>10</v>
      </c>
      <c r="L2" s="168" t="s">
        <v>11</v>
      </c>
      <c r="M2" s="169" t="s">
        <v>149</v>
      </c>
      <c r="N2" s="168" t="s">
        <v>150</v>
      </c>
      <c r="O2" s="169" t="s">
        <v>151</v>
      </c>
      <c r="P2" s="170" t="s">
        <v>152</v>
      </c>
      <c r="Q2" s="17"/>
      <c r="R2" s="238" t="s">
        <v>27</v>
      </c>
      <c r="S2" s="238"/>
      <c r="T2" s="178" t="s">
        <v>29</v>
      </c>
      <c r="U2" s="178" t="s">
        <v>30</v>
      </c>
      <c r="V2" s="178" t="s">
        <v>31</v>
      </c>
      <c r="W2" s="178" t="s">
        <v>32</v>
      </c>
      <c r="X2" s="178" t="s">
        <v>33</v>
      </c>
      <c r="Y2" s="178" t="s">
        <v>34</v>
      </c>
      <c r="Z2" s="178" t="s">
        <v>35</v>
      </c>
      <c r="AA2" s="178" t="s">
        <v>36</v>
      </c>
      <c r="AB2" s="178" t="s">
        <v>37</v>
      </c>
      <c r="AC2" s="178" t="s">
        <v>38</v>
      </c>
      <c r="AD2" s="178" t="s">
        <v>39</v>
      </c>
      <c r="AE2" s="178" t="s">
        <v>40</v>
      </c>
      <c r="AF2" s="178" t="s">
        <v>153</v>
      </c>
      <c r="AG2" s="178" t="s">
        <v>154</v>
      </c>
      <c r="AH2" s="178" t="s">
        <v>155</v>
      </c>
      <c r="AI2" s="178" t="s">
        <v>41</v>
      </c>
      <c r="AJ2" s="22"/>
      <c r="AK2" s="234" t="s">
        <v>47</v>
      </c>
      <c r="AL2" s="233" t="s">
        <v>50</v>
      </c>
      <c r="AM2" s="234" t="s">
        <v>51</v>
      </c>
      <c r="AN2" s="234" t="s">
        <v>52</v>
      </c>
      <c r="AO2" s="234" t="s">
        <v>48</v>
      </c>
    </row>
    <row r="3" spans="1:47" ht="14.4" customHeight="1" x14ac:dyDescent="0.3">
      <c r="A3" s="78">
        <v>4</v>
      </c>
      <c r="B3" s="78">
        <v>4</v>
      </c>
      <c r="C3" s="78">
        <v>3</v>
      </c>
      <c r="D3" s="78">
        <v>4</v>
      </c>
      <c r="E3" s="78">
        <v>4</v>
      </c>
      <c r="F3" s="78">
        <v>3</v>
      </c>
      <c r="G3" s="78">
        <v>4</v>
      </c>
      <c r="H3" s="78">
        <v>4</v>
      </c>
      <c r="I3" s="78">
        <v>4</v>
      </c>
      <c r="J3" s="78">
        <v>4</v>
      </c>
      <c r="K3" s="78">
        <v>5</v>
      </c>
      <c r="L3" s="78">
        <v>4</v>
      </c>
      <c r="M3" s="78">
        <v>4</v>
      </c>
      <c r="N3" s="78">
        <v>5</v>
      </c>
      <c r="O3" s="78">
        <v>4</v>
      </c>
      <c r="P3" s="171">
        <f>SUM(A3:O3)</f>
        <v>60</v>
      </c>
      <c r="Q3" s="19"/>
      <c r="R3" s="236" t="s">
        <v>29</v>
      </c>
      <c r="S3" s="179" t="s">
        <v>42</v>
      </c>
      <c r="T3" s="180">
        <v>1</v>
      </c>
      <c r="U3" s="181" t="s">
        <v>424</v>
      </c>
      <c r="V3" s="181" t="s">
        <v>425</v>
      </c>
      <c r="W3" s="181" t="s">
        <v>426</v>
      </c>
      <c r="X3" s="181" t="s">
        <v>427</v>
      </c>
      <c r="Y3" s="181" t="s">
        <v>428</v>
      </c>
      <c r="Z3" s="181" t="s">
        <v>429</v>
      </c>
      <c r="AA3" s="181" t="s">
        <v>430</v>
      </c>
      <c r="AB3" s="181" t="s">
        <v>431</v>
      </c>
      <c r="AC3" s="181" t="s">
        <v>432</v>
      </c>
      <c r="AD3" s="181" t="s">
        <v>433</v>
      </c>
      <c r="AE3" s="181" t="s">
        <v>434</v>
      </c>
      <c r="AF3" s="181" t="s">
        <v>432</v>
      </c>
      <c r="AG3" s="181" t="s">
        <v>433</v>
      </c>
      <c r="AH3" s="181" t="s">
        <v>434</v>
      </c>
      <c r="AI3" s="181" t="s">
        <v>435</v>
      </c>
      <c r="AJ3" s="22"/>
      <c r="AK3" s="234"/>
      <c r="AL3" s="233"/>
      <c r="AM3" s="234"/>
      <c r="AN3" s="234"/>
      <c r="AO3" s="234"/>
    </row>
    <row r="4" spans="1:47" ht="24" x14ac:dyDescent="0.3">
      <c r="A4" s="78">
        <v>4</v>
      </c>
      <c r="B4" s="78">
        <v>4</v>
      </c>
      <c r="C4" s="78">
        <v>4</v>
      </c>
      <c r="D4" s="78">
        <v>3</v>
      </c>
      <c r="E4" s="78">
        <v>4</v>
      </c>
      <c r="F4" s="78">
        <v>3</v>
      </c>
      <c r="G4" s="78">
        <v>4</v>
      </c>
      <c r="H4" s="78">
        <v>4</v>
      </c>
      <c r="I4" s="78">
        <v>3</v>
      </c>
      <c r="J4" s="78">
        <v>3</v>
      </c>
      <c r="K4" s="78">
        <v>4</v>
      </c>
      <c r="L4" s="78">
        <v>4</v>
      </c>
      <c r="M4" s="78">
        <v>3</v>
      </c>
      <c r="N4" s="78">
        <v>4</v>
      </c>
      <c r="O4" s="78">
        <v>4</v>
      </c>
      <c r="P4" s="171">
        <f t="shared" ref="P4:P52" si="0">SUM(A4:O4)</f>
        <v>55</v>
      </c>
      <c r="Q4" s="21"/>
      <c r="R4" s="236"/>
      <c r="S4" s="179" t="s">
        <v>43</v>
      </c>
      <c r="T4" s="182"/>
      <c r="U4" s="183">
        <v>5.0850912842352015E-6</v>
      </c>
      <c r="V4" s="183">
        <v>1.3830409060866507E-3</v>
      </c>
      <c r="W4" s="183">
        <v>5.3000002145393015E-5</v>
      </c>
      <c r="X4" s="183">
        <v>8.9229735351427505E-5</v>
      </c>
      <c r="Y4" s="183">
        <v>5.9756191568665499E-3</v>
      </c>
      <c r="Z4" s="183">
        <v>2.4761771448783966E-4</v>
      </c>
      <c r="AA4" s="183">
        <v>3.1955926357220217E-4</v>
      </c>
      <c r="AB4" s="183">
        <v>2.7187651555958043E-4</v>
      </c>
      <c r="AC4" s="183">
        <v>2.7043225436003156E-5</v>
      </c>
      <c r="AD4" s="183">
        <v>2.0570887078700892E-6</v>
      </c>
      <c r="AE4" s="183">
        <v>2.6567455798416157E-4</v>
      </c>
      <c r="AF4" s="183">
        <v>2.7043225436003156E-5</v>
      </c>
      <c r="AG4" s="183">
        <v>2.0570887078700892E-6</v>
      </c>
      <c r="AH4" s="183">
        <v>2.6567455798416157E-4</v>
      </c>
      <c r="AI4" s="183">
        <v>1.3561717735271275E-10</v>
      </c>
      <c r="AJ4" s="22"/>
      <c r="AK4" s="1" t="s">
        <v>53</v>
      </c>
      <c r="AL4" s="30" t="s">
        <v>157</v>
      </c>
      <c r="AM4" s="2">
        <v>0.36099999999999999</v>
      </c>
      <c r="AN4" s="1">
        <v>0</v>
      </c>
      <c r="AO4" s="1" t="s">
        <v>49</v>
      </c>
      <c r="AQ4" s="240" t="s">
        <v>206</v>
      </c>
      <c r="AR4" s="240"/>
      <c r="AS4" s="240"/>
      <c r="AT4" s="240"/>
      <c r="AU4" s="22"/>
    </row>
    <row r="5" spans="1:47" ht="18.600000000000001" customHeight="1" x14ac:dyDescent="0.3">
      <c r="A5" s="78">
        <v>4</v>
      </c>
      <c r="B5" s="78">
        <v>4</v>
      </c>
      <c r="C5" s="78">
        <v>5</v>
      </c>
      <c r="D5" s="78">
        <v>4</v>
      </c>
      <c r="E5" s="78">
        <v>4</v>
      </c>
      <c r="F5" s="78">
        <v>4</v>
      </c>
      <c r="G5" s="78">
        <v>4</v>
      </c>
      <c r="H5" s="78">
        <v>3</v>
      </c>
      <c r="I5" s="78">
        <v>4</v>
      </c>
      <c r="J5" s="78">
        <v>4</v>
      </c>
      <c r="K5" s="78">
        <v>4</v>
      </c>
      <c r="L5" s="78">
        <v>4</v>
      </c>
      <c r="M5" s="78">
        <v>4</v>
      </c>
      <c r="N5" s="78">
        <v>4</v>
      </c>
      <c r="O5" s="78">
        <v>4</v>
      </c>
      <c r="P5" s="171">
        <f t="shared" si="0"/>
        <v>60</v>
      </c>
      <c r="Q5" s="18"/>
      <c r="R5" s="236"/>
      <c r="S5" s="179" t="s">
        <v>44</v>
      </c>
      <c r="T5" s="180">
        <v>50</v>
      </c>
      <c r="U5" s="180">
        <v>50</v>
      </c>
      <c r="V5" s="180">
        <v>50</v>
      </c>
      <c r="W5" s="180">
        <v>50</v>
      </c>
      <c r="X5" s="180">
        <v>50</v>
      </c>
      <c r="Y5" s="180">
        <v>50</v>
      </c>
      <c r="Z5" s="180">
        <v>50</v>
      </c>
      <c r="AA5" s="180">
        <v>50</v>
      </c>
      <c r="AB5" s="180">
        <v>50</v>
      </c>
      <c r="AC5" s="180">
        <v>50</v>
      </c>
      <c r="AD5" s="180">
        <v>50</v>
      </c>
      <c r="AE5" s="180">
        <v>50</v>
      </c>
      <c r="AF5" s="180">
        <v>50</v>
      </c>
      <c r="AG5" s="180">
        <v>50</v>
      </c>
      <c r="AH5" s="180">
        <v>50</v>
      </c>
      <c r="AI5" s="180">
        <v>50</v>
      </c>
      <c r="AJ5" s="22"/>
      <c r="AK5" s="1" t="s">
        <v>54</v>
      </c>
      <c r="AL5" s="30" t="s">
        <v>158</v>
      </c>
      <c r="AM5" s="2">
        <v>0.36099999999999999</v>
      </c>
      <c r="AN5" s="1">
        <v>0</v>
      </c>
      <c r="AO5" s="1" t="s">
        <v>49</v>
      </c>
      <c r="AQ5" s="241" t="s">
        <v>27</v>
      </c>
      <c r="AR5" s="241"/>
      <c r="AS5" s="23" t="s">
        <v>44</v>
      </c>
      <c r="AT5" s="24" t="s">
        <v>207</v>
      </c>
      <c r="AU5" s="22"/>
    </row>
    <row r="6" spans="1:47" ht="24" x14ac:dyDescent="0.3">
      <c r="A6" s="78">
        <v>4</v>
      </c>
      <c r="B6" s="78">
        <v>5</v>
      </c>
      <c r="C6" s="78">
        <v>5</v>
      </c>
      <c r="D6" s="78">
        <v>5</v>
      </c>
      <c r="E6" s="78">
        <v>4</v>
      </c>
      <c r="F6" s="78">
        <v>4</v>
      </c>
      <c r="G6" s="78">
        <v>5</v>
      </c>
      <c r="H6" s="78">
        <v>5</v>
      </c>
      <c r="I6" s="78">
        <v>4</v>
      </c>
      <c r="J6" s="78">
        <v>5</v>
      </c>
      <c r="K6" s="78">
        <v>4</v>
      </c>
      <c r="L6" s="78">
        <v>4</v>
      </c>
      <c r="M6" s="78">
        <v>5</v>
      </c>
      <c r="N6" s="78">
        <v>4</v>
      </c>
      <c r="O6" s="78">
        <v>4</v>
      </c>
      <c r="P6" s="171">
        <f t="shared" si="0"/>
        <v>67</v>
      </c>
      <c r="Q6" s="18"/>
      <c r="R6" s="236" t="s">
        <v>30</v>
      </c>
      <c r="S6" s="179" t="s">
        <v>42</v>
      </c>
      <c r="T6" s="181" t="s">
        <v>424</v>
      </c>
      <c r="U6" s="180">
        <v>1</v>
      </c>
      <c r="V6" s="181" t="s">
        <v>436</v>
      </c>
      <c r="W6" s="181" t="s">
        <v>437</v>
      </c>
      <c r="X6" s="181" t="s">
        <v>438</v>
      </c>
      <c r="Y6" s="181" t="s">
        <v>439</v>
      </c>
      <c r="Z6" s="181" t="s">
        <v>440</v>
      </c>
      <c r="AA6" s="181" t="s">
        <v>441</v>
      </c>
      <c r="AB6" s="181" t="s">
        <v>442</v>
      </c>
      <c r="AC6" s="181" t="s">
        <v>443</v>
      </c>
      <c r="AD6" s="181" t="s">
        <v>444</v>
      </c>
      <c r="AE6" s="181" t="s">
        <v>445</v>
      </c>
      <c r="AF6" s="181" t="s">
        <v>443</v>
      </c>
      <c r="AG6" s="181" t="s">
        <v>444</v>
      </c>
      <c r="AH6" s="181" t="s">
        <v>445</v>
      </c>
      <c r="AI6" s="181" t="s">
        <v>446</v>
      </c>
      <c r="AJ6" s="22"/>
      <c r="AK6" s="1" t="s">
        <v>55</v>
      </c>
      <c r="AL6" s="30" t="s">
        <v>159</v>
      </c>
      <c r="AM6" s="2">
        <v>0.36099999999999999</v>
      </c>
      <c r="AN6" s="1">
        <v>0</v>
      </c>
      <c r="AO6" s="1" t="s">
        <v>49</v>
      </c>
      <c r="AQ6" s="242" t="s">
        <v>208</v>
      </c>
      <c r="AR6" s="25" t="s">
        <v>49</v>
      </c>
      <c r="AS6" s="26">
        <v>50</v>
      </c>
      <c r="AT6" s="45">
        <v>100</v>
      </c>
      <c r="AU6" s="22"/>
    </row>
    <row r="7" spans="1:47" ht="24" x14ac:dyDescent="0.3">
      <c r="A7" s="78">
        <v>4</v>
      </c>
      <c r="B7" s="78">
        <v>3</v>
      </c>
      <c r="C7" s="78">
        <v>3</v>
      </c>
      <c r="D7" s="78">
        <v>3</v>
      </c>
      <c r="E7" s="78">
        <v>3</v>
      </c>
      <c r="F7" s="78">
        <v>3</v>
      </c>
      <c r="G7" s="78">
        <v>3</v>
      </c>
      <c r="H7" s="78">
        <v>3</v>
      </c>
      <c r="I7" s="78">
        <v>4</v>
      </c>
      <c r="J7" s="78">
        <v>4</v>
      </c>
      <c r="K7" s="78">
        <v>5</v>
      </c>
      <c r="L7" s="78">
        <v>3</v>
      </c>
      <c r="M7" s="78">
        <v>4</v>
      </c>
      <c r="N7" s="78">
        <v>5</v>
      </c>
      <c r="O7" s="78">
        <v>3</v>
      </c>
      <c r="P7" s="171">
        <f t="shared" si="0"/>
        <v>53</v>
      </c>
      <c r="Q7" s="20"/>
      <c r="R7" s="236"/>
      <c r="S7" s="179" t="s">
        <v>43</v>
      </c>
      <c r="T7" s="183">
        <v>5.0850912842352015E-6</v>
      </c>
      <c r="U7" s="182"/>
      <c r="V7" s="183">
        <v>1.3740255610022527E-6</v>
      </c>
      <c r="W7" s="183">
        <v>3.3243785341358439E-5</v>
      </c>
      <c r="X7" s="183">
        <v>4.7102645665171011E-5</v>
      </c>
      <c r="Y7" s="183">
        <v>4.3116814731464182E-4</v>
      </c>
      <c r="Z7" s="183">
        <v>3.858794848157811E-4</v>
      </c>
      <c r="AA7" s="183">
        <v>2.7309720635615144E-6</v>
      </c>
      <c r="AB7" s="183">
        <v>1.1268591785212053E-4</v>
      </c>
      <c r="AC7" s="183">
        <v>8.2659836805649495E-5</v>
      </c>
      <c r="AD7" s="183">
        <v>7.6055124591566071E-4</v>
      </c>
      <c r="AE7" s="183">
        <v>2.1393605838518543E-5</v>
      </c>
      <c r="AF7" s="183">
        <v>8.2659836805649495E-5</v>
      </c>
      <c r="AG7" s="183">
        <v>7.6055124591566071E-4</v>
      </c>
      <c r="AH7" s="183">
        <v>2.1393605838518543E-5</v>
      </c>
      <c r="AI7" s="183">
        <v>1.6250502652046448E-11</v>
      </c>
      <c r="AJ7" s="22"/>
      <c r="AK7" s="1" t="s">
        <v>56</v>
      </c>
      <c r="AL7" s="30" t="s">
        <v>160</v>
      </c>
      <c r="AM7" s="2">
        <v>0.36099999999999999</v>
      </c>
      <c r="AN7" s="1">
        <v>0</v>
      </c>
      <c r="AO7" s="1" t="s">
        <v>49</v>
      </c>
      <c r="AQ7" s="243"/>
      <c r="AR7" s="27" t="s">
        <v>210</v>
      </c>
      <c r="AS7" s="46">
        <v>0</v>
      </c>
      <c r="AT7" s="47">
        <v>0</v>
      </c>
      <c r="AU7" s="22"/>
    </row>
    <row r="8" spans="1:47" ht="18.600000000000001" customHeight="1" x14ac:dyDescent="0.3">
      <c r="A8" s="78">
        <v>3</v>
      </c>
      <c r="B8" s="78">
        <v>3</v>
      </c>
      <c r="C8" s="78">
        <v>3</v>
      </c>
      <c r="D8" s="78">
        <v>4</v>
      </c>
      <c r="E8" s="78">
        <v>3</v>
      </c>
      <c r="F8" s="78">
        <v>4</v>
      </c>
      <c r="G8" s="78">
        <v>3</v>
      </c>
      <c r="H8" s="78">
        <v>3</v>
      </c>
      <c r="I8" s="78">
        <v>3</v>
      </c>
      <c r="J8" s="78">
        <v>4</v>
      </c>
      <c r="K8" s="78">
        <v>4</v>
      </c>
      <c r="L8" s="78">
        <v>4</v>
      </c>
      <c r="M8" s="78">
        <v>4</v>
      </c>
      <c r="N8" s="78">
        <v>4</v>
      </c>
      <c r="O8" s="78">
        <v>4</v>
      </c>
      <c r="P8" s="171">
        <f t="shared" si="0"/>
        <v>53</v>
      </c>
      <c r="Q8" s="18"/>
      <c r="R8" s="236"/>
      <c r="S8" s="179" t="s">
        <v>44</v>
      </c>
      <c r="T8" s="180">
        <v>50</v>
      </c>
      <c r="U8" s="180">
        <v>50</v>
      </c>
      <c r="V8" s="180">
        <v>50</v>
      </c>
      <c r="W8" s="180">
        <v>50</v>
      </c>
      <c r="X8" s="180">
        <v>50</v>
      </c>
      <c r="Y8" s="180">
        <v>50</v>
      </c>
      <c r="Z8" s="180">
        <v>50</v>
      </c>
      <c r="AA8" s="180">
        <v>50</v>
      </c>
      <c r="AB8" s="180">
        <v>50</v>
      </c>
      <c r="AC8" s="180">
        <v>50</v>
      </c>
      <c r="AD8" s="180">
        <v>50</v>
      </c>
      <c r="AE8" s="180">
        <v>50</v>
      </c>
      <c r="AF8" s="180">
        <v>50</v>
      </c>
      <c r="AG8" s="180">
        <v>50</v>
      </c>
      <c r="AH8" s="180">
        <v>50</v>
      </c>
      <c r="AI8" s="180">
        <v>50</v>
      </c>
      <c r="AJ8" s="22"/>
      <c r="AK8" s="1" t="s">
        <v>57</v>
      </c>
      <c r="AL8" s="30" t="s">
        <v>161</v>
      </c>
      <c r="AM8" s="2">
        <v>0.36099999999999999</v>
      </c>
      <c r="AN8" s="1">
        <v>0</v>
      </c>
      <c r="AO8" s="1" t="s">
        <v>49</v>
      </c>
      <c r="AQ8" s="244"/>
      <c r="AR8" s="28" t="s">
        <v>152</v>
      </c>
      <c r="AS8" s="29">
        <v>50</v>
      </c>
      <c r="AT8" s="48">
        <v>100</v>
      </c>
      <c r="AU8" s="22"/>
    </row>
    <row r="9" spans="1:47" ht="24" x14ac:dyDescent="0.3">
      <c r="A9" s="78">
        <v>5</v>
      </c>
      <c r="B9" s="78">
        <v>5</v>
      </c>
      <c r="C9" s="78">
        <v>5</v>
      </c>
      <c r="D9" s="78">
        <v>5</v>
      </c>
      <c r="E9" s="78">
        <v>4</v>
      </c>
      <c r="F9" s="78">
        <v>4</v>
      </c>
      <c r="G9" s="78">
        <v>4</v>
      </c>
      <c r="H9" s="78">
        <v>4</v>
      </c>
      <c r="I9" s="78">
        <v>4</v>
      </c>
      <c r="J9" s="78">
        <v>4</v>
      </c>
      <c r="K9" s="78">
        <v>4</v>
      </c>
      <c r="L9" s="78">
        <v>4</v>
      </c>
      <c r="M9" s="78">
        <v>4</v>
      </c>
      <c r="N9" s="78">
        <v>4</v>
      </c>
      <c r="O9" s="78">
        <v>4</v>
      </c>
      <c r="P9" s="171">
        <f t="shared" si="0"/>
        <v>64</v>
      </c>
      <c r="Q9" s="19"/>
      <c r="R9" s="236" t="s">
        <v>31</v>
      </c>
      <c r="S9" s="179" t="s">
        <v>42</v>
      </c>
      <c r="T9" s="181" t="s">
        <v>425</v>
      </c>
      <c r="U9" s="181" t="s">
        <v>436</v>
      </c>
      <c r="V9" s="180">
        <v>1</v>
      </c>
      <c r="W9" s="181" t="s">
        <v>447</v>
      </c>
      <c r="X9" s="181" t="s">
        <v>448</v>
      </c>
      <c r="Y9" s="181" t="s">
        <v>449</v>
      </c>
      <c r="Z9" s="181" t="s">
        <v>450</v>
      </c>
      <c r="AA9" s="181" t="s">
        <v>451</v>
      </c>
      <c r="AB9" s="181" t="s">
        <v>450</v>
      </c>
      <c r="AC9" s="181" t="s">
        <v>452</v>
      </c>
      <c r="AD9" s="181" t="s">
        <v>453</v>
      </c>
      <c r="AE9" s="181" t="s">
        <v>454</v>
      </c>
      <c r="AF9" s="181" t="s">
        <v>452</v>
      </c>
      <c r="AG9" s="181" t="s">
        <v>453</v>
      </c>
      <c r="AH9" s="181" t="s">
        <v>454</v>
      </c>
      <c r="AI9" s="181" t="s">
        <v>455</v>
      </c>
      <c r="AJ9" s="22"/>
      <c r="AK9" s="1" t="s">
        <v>58</v>
      </c>
      <c r="AL9" s="30" t="s">
        <v>162</v>
      </c>
      <c r="AM9" s="2">
        <v>0.36099999999999999</v>
      </c>
      <c r="AN9" s="1">
        <v>0</v>
      </c>
      <c r="AO9" s="1" t="s">
        <v>49</v>
      </c>
      <c r="AQ9" s="245" t="s">
        <v>209</v>
      </c>
      <c r="AR9" s="245"/>
      <c r="AS9" s="245"/>
      <c r="AT9" s="245"/>
      <c r="AU9" s="22"/>
    </row>
    <row r="10" spans="1:47" ht="24" x14ac:dyDescent="0.3">
      <c r="A10" s="78">
        <v>4</v>
      </c>
      <c r="B10" s="78">
        <v>4</v>
      </c>
      <c r="C10" s="78">
        <v>4</v>
      </c>
      <c r="D10" s="78">
        <v>4</v>
      </c>
      <c r="E10" s="78">
        <v>4</v>
      </c>
      <c r="F10" s="78">
        <v>4</v>
      </c>
      <c r="G10" s="78">
        <v>4</v>
      </c>
      <c r="H10" s="78">
        <v>4</v>
      </c>
      <c r="I10" s="78">
        <v>4</v>
      </c>
      <c r="J10" s="78">
        <v>3</v>
      </c>
      <c r="K10" s="78">
        <v>4</v>
      </c>
      <c r="L10" s="78">
        <v>5</v>
      </c>
      <c r="M10" s="78">
        <v>3</v>
      </c>
      <c r="N10" s="78">
        <v>4</v>
      </c>
      <c r="O10" s="78">
        <v>5</v>
      </c>
      <c r="P10" s="171">
        <f t="shared" si="0"/>
        <v>60</v>
      </c>
      <c r="Q10" s="21"/>
      <c r="R10" s="236"/>
      <c r="S10" s="179" t="s">
        <v>43</v>
      </c>
      <c r="T10" s="183">
        <v>1.3830409060866507E-3</v>
      </c>
      <c r="U10" s="183">
        <v>1.3740255610022527E-6</v>
      </c>
      <c r="V10" s="182"/>
      <c r="W10" s="183">
        <v>2.3232303000366382E-3</v>
      </c>
      <c r="X10" s="183">
        <v>9.5094471391452798E-4</v>
      </c>
      <c r="Y10" s="183">
        <v>3.6663176930837383E-5</v>
      </c>
      <c r="Z10" s="183">
        <v>2.3942221003147401E-3</v>
      </c>
      <c r="AA10" s="183">
        <v>1.077667541777615E-4</v>
      </c>
      <c r="AB10" s="183">
        <v>2.3714694215667517E-3</v>
      </c>
      <c r="AC10" s="183">
        <v>4.905944801356281E-4</v>
      </c>
      <c r="AD10" s="183">
        <v>2.2555681098401178E-3</v>
      </c>
      <c r="AE10" s="183">
        <v>7.8413400052797157E-4</v>
      </c>
      <c r="AF10" s="183">
        <v>4.905944801356281E-4</v>
      </c>
      <c r="AG10" s="183">
        <v>2.2555681098401178E-3</v>
      </c>
      <c r="AH10" s="183">
        <v>7.8413400052797157E-4</v>
      </c>
      <c r="AI10" s="183">
        <v>1.1869532900308146E-8</v>
      </c>
      <c r="AJ10" s="22"/>
      <c r="AK10" s="1" t="s">
        <v>59</v>
      </c>
      <c r="AL10" s="30" t="s">
        <v>163</v>
      </c>
      <c r="AM10" s="2">
        <v>0.36099999999999999</v>
      </c>
      <c r="AN10" s="1">
        <v>0</v>
      </c>
      <c r="AO10" s="1" t="s">
        <v>49</v>
      </c>
    </row>
    <row r="11" spans="1:47" ht="15.6" x14ac:dyDescent="0.3">
      <c r="A11" s="78">
        <v>3</v>
      </c>
      <c r="B11" s="78">
        <v>4</v>
      </c>
      <c r="C11" s="78">
        <v>4</v>
      </c>
      <c r="D11" s="78">
        <v>4</v>
      </c>
      <c r="E11" s="78">
        <v>3</v>
      </c>
      <c r="F11" s="78">
        <v>3</v>
      </c>
      <c r="G11" s="78">
        <v>3</v>
      </c>
      <c r="H11" s="78">
        <v>3</v>
      </c>
      <c r="I11" s="78">
        <v>4</v>
      </c>
      <c r="J11" s="78">
        <v>3</v>
      </c>
      <c r="K11" s="78">
        <v>3</v>
      </c>
      <c r="L11" s="78">
        <v>3</v>
      </c>
      <c r="M11" s="78">
        <v>3</v>
      </c>
      <c r="N11" s="78">
        <v>3</v>
      </c>
      <c r="O11" s="78">
        <v>3</v>
      </c>
      <c r="P11" s="171">
        <f t="shared" si="0"/>
        <v>49</v>
      </c>
      <c r="Q11" s="18"/>
      <c r="R11" s="236"/>
      <c r="S11" s="179" t="s">
        <v>44</v>
      </c>
      <c r="T11" s="180">
        <v>50</v>
      </c>
      <c r="U11" s="180">
        <v>50</v>
      </c>
      <c r="V11" s="180">
        <v>50</v>
      </c>
      <c r="W11" s="180">
        <v>50</v>
      </c>
      <c r="X11" s="180">
        <v>50</v>
      </c>
      <c r="Y11" s="180">
        <v>50</v>
      </c>
      <c r="Z11" s="180">
        <v>50</v>
      </c>
      <c r="AA11" s="180">
        <v>50</v>
      </c>
      <c r="AB11" s="180">
        <v>50</v>
      </c>
      <c r="AC11" s="180">
        <v>50</v>
      </c>
      <c r="AD11" s="180">
        <v>50</v>
      </c>
      <c r="AE11" s="180">
        <v>50</v>
      </c>
      <c r="AF11" s="180">
        <v>50</v>
      </c>
      <c r="AG11" s="180">
        <v>50</v>
      </c>
      <c r="AH11" s="180">
        <v>50</v>
      </c>
      <c r="AI11" s="180">
        <v>50</v>
      </c>
      <c r="AJ11" s="22"/>
      <c r="AK11" s="1" t="s">
        <v>60</v>
      </c>
      <c r="AL11" s="30" t="s">
        <v>164</v>
      </c>
      <c r="AM11" s="2">
        <v>0.36099999999999999</v>
      </c>
      <c r="AN11" s="1">
        <v>0</v>
      </c>
      <c r="AO11" s="1" t="s">
        <v>49</v>
      </c>
      <c r="AR11" s="246" t="s">
        <v>211</v>
      </c>
      <c r="AS11" s="246"/>
      <c r="AT11" s="22"/>
    </row>
    <row r="12" spans="1:47" ht="24" x14ac:dyDescent="0.3">
      <c r="A12" s="78">
        <v>4</v>
      </c>
      <c r="B12" s="78">
        <v>5</v>
      </c>
      <c r="C12" s="78">
        <v>4</v>
      </c>
      <c r="D12" s="78">
        <v>4</v>
      </c>
      <c r="E12" s="78">
        <v>4</v>
      </c>
      <c r="F12" s="78">
        <v>4</v>
      </c>
      <c r="G12" s="78">
        <v>3</v>
      </c>
      <c r="H12" s="78">
        <v>4</v>
      </c>
      <c r="I12" s="78">
        <v>4</v>
      </c>
      <c r="J12" s="78">
        <v>4</v>
      </c>
      <c r="K12" s="78">
        <v>4</v>
      </c>
      <c r="L12" s="78">
        <v>5</v>
      </c>
      <c r="M12" s="78">
        <v>4</v>
      </c>
      <c r="N12" s="78">
        <v>4</v>
      </c>
      <c r="O12" s="78">
        <v>5</v>
      </c>
      <c r="P12" s="171">
        <f t="shared" si="0"/>
        <v>62</v>
      </c>
      <c r="Q12" s="19"/>
      <c r="R12" s="236" t="s">
        <v>32</v>
      </c>
      <c r="S12" s="179" t="s">
        <v>42</v>
      </c>
      <c r="T12" s="181" t="s">
        <v>426</v>
      </c>
      <c r="U12" s="181" t="s">
        <v>437</v>
      </c>
      <c r="V12" s="181" t="s">
        <v>447</v>
      </c>
      <c r="W12" s="180">
        <v>1</v>
      </c>
      <c r="X12" s="181" t="s">
        <v>456</v>
      </c>
      <c r="Y12" s="181" t="s">
        <v>457</v>
      </c>
      <c r="Z12" s="181" t="s">
        <v>458</v>
      </c>
      <c r="AA12" s="181" t="s">
        <v>459</v>
      </c>
      <c r="AB12" s="181" t="s">
        <v>460</v>
      </c>
      <c r="AC12" s="181" t="s">
        <v>461</v>
      </c>
      <c r="AD12" s="181" t="s">
        <v>462</v>
      </c>
      <c r="AE12" s="181" t="s">
        <v>463</v>
      </c>
      <c r="AF12" s="181" t="s">
        <v>461</v>
      </c>
      <c r="AG12" s="181" t="s">
        <v>462</v>
      </c>
      <c r="AH12" s="181" t="s">
        <v>463</v>
      </c>
      <c r="AI12" s="181" t="s">
        <v>464</v>
      </c>
      <c r="AJ12" s="22"/>
      <c r="AK12" s="1" t="s">
        <v>61</v>
      </c>
      <c r="AL12" s="30" t="s">
        <v>63</v>
      </c>
      <c r="AM12" s="2">
        <v>0.36099999999999999</v>
      </c>
      <c r="AN12" s="1">
        <v>0</v>
      </c>
      <c r="AO12" s="1" t="s">
        <v>49</v>
      </c>
      <c r="AR12" s="175" t="s">
        <v>212</v>
      </c>
      <c r="AS12" s="175" t="s">
        <v>213</v>
      </c>
      <c r="AT12" s="22"/>
    </row>
    <row r="13" spans="1:47" ht="24" x14ac:dyDescent="0.3">
      <c r="A13" s="78">
        <v>3</v>
      </c>
      <c r="B13" s="78">
        <v>4</v>
      </c>
      <c r="C13" s="78">
        <v>3</v>
      </c>
      <c r="D13" s="78">
        <v>3</v>
      </c>
      <c r="E13" s="78">
        <v>4</v>
      </c>
      <c r="F13" s="78">
        <v>4</v>
      </c>
      <c r="G13" s="78">
        <v>4</v>
      </c>
      <c r="H13" s="78">
        <v>3</v>
      </c>
      <c r="I13" s="78">
        <v>3</v>
      </c>
      <c r="J13" s="78">
        <v>4</v>
      </c>
      <c r="K13" s="78">
        <v>3</v>
      </c>
      <c r="L13" s="78">
        <v>3</v>
      </c>
      <c r="M13" s="78">
        <v>4</v>
      </c>
      <c r="N13" s="78">
        <v>3</v>
      </c>
      <c r="O13" s="78">
        <v>3</v>
      </c>
      <c r="P13" s="171">
        <f t="shared" si="0"/>
        <v>51</v>
      </c>
      <c r="Q13" s="21"/>
      <c r="R13" s="236"/>
      <c r="S13" s="179" t="s">
        <v>43</v>
      </c>
      <c r="T13" s="183">
        <v>5.3000002145393015E-5</v>
      </c>
      <c r="U13" s="183">
        <v>3.3243785341358439E-5</v>
      </c>
      <c r="V13" s="183">
        <v>2.3232303000366382E-3</v>
      </c>
      <c r="W13" s="182"/>
      <c r="X13" s="183">
        <v>3.1623845244797296E-4</v>
      </c>
      <c r="Y13" s="183">
        <v>4.0755931926648526E-3</v>
      </c>
      <c r="Z13" s="183">
        <v>1.7103759109043591E-5</v>
      </c>
      <c r="AA13" s="183">
        <v>2.8951549512741125E-5</v>
      </c>
      <c r="AB13" s="183">
        <v>1.6345907623135442E-5</v>
      </c>
      <c r="AC13" s="183">
        <v>4.9748112920623785E-5</v>
      </c>
      <c r="AD13" s="183">
        <v>5.0321290435732281E-4</v>
      </c>
      <c r="AE13" s="183">
        <v>2.9039616294427853E-3</v>
      </c>
      <c r="AF13" s="183">
        <v>4.9748112920623785E-5</v>
      </c>
      <c r="AG13" s="183">
        <v>5.0321290435732281E-4</v>
      </c>
      <c r="AH13" s="183">
        <v>2.9039616294427853E-3</v>
      </c>
      <c r="AI13" s="183">
        <v>2.832271979931832E-9</v>
      </c>
      <c r="AJ13" s="22"/>
      <c r="AK13" s="1" t="s">
        <v>38</v>
      </c>
      <c r="AL13" s="30" t="s">
        <v>165</v>
      </c>
      <c r="AM13" s="2">
        <v>0.36099999999999999</v>
      </c>
      <c r="AN13" s="1">
        <v>0</v>
      </c>
      <c r="AO13" s="1" t="s">
        <v>49</v>
      </c>
      <c r="AR13" s="177">
        <v>0.93505370759759832</v>
      </c>
      <c r="AS13" s="176">
        <v>15</v>
      </c>
      <c r="AT13" s="22"/>
    </row>
    <row r="14" spans="1:47" ht="15.6" x14ac:dyDescent="0.3">
      <c r="A14" s="78">
        <v>4</v>
      </c>
      <c r="B14" s="78">
        <v>4</v>
      </c>
      <c r="C14" s="78">
        <v>3</v>
      </c>
      <c r="D14" s="78">
        <v>4</v>
      </c>
      <c r="E14" s="78">
        <v>4</v>
      </c>
      <c r="F14" s="78">
        <v>3</v>
      </c>
      <c r="G14" s="78">
        <v>3</v>
      </c>
      <c r="H14" s="78">
        <v>3</v>
      </c>
      <c r="I14" s="78">
        <v>4</v>
      </c>
      <c r="J14" s="78">
        <v>3</v>
      </c>
      <c r="K14" s="78">
        <v>3</v>
      </c>
      <c r="L14" s="78">
        <v>3</v>
      </c>
      <c r="M14" s="78">
        <v>3</v>
      </c>
      <c r="N14" s="78">
        <v>3</v>
      </c>
      <c r="O14" s="78">
        <v>3</v>
      </c>
      <c r="P14" s="171">
        <f t="shared" si="0"/>
        <v>50</v>
      </c>
      <c r="Q14" s="18"/>
      <c r="R14" s="236"/>
      <c r="S14" s="179" t="s">
        <v>44</v>
      </c>
      <c r="T14" s="180">
        <v>50</v>
      </c>
      <c r="U14" s="180">
        <v>50</v>
      </c>
      <c r="V14" s="180">
        <v>50</v>
      </c>
      <c r="W14" s="180">
        <v>50</v>
      </c>
      <c r="X14" s="180">
        <v>50</v>
      </c>
      <c r="Y14" s="180">
        <v>50</v>
      </c>
      <c r="Z14" s="180">
        <v>50</v>
      </c>
      <c r="AA14" s="180">
        <v>50</v>
      </c>
      <c r="AB14" s="180">
        <v>50</v>
      </c>
      <c r="AC14" s="180">
        <v>50</v>
      </c>
      <c r="AD14" s="180">
        <v>50</v>
      </c>
      <c r="AE14" s="180">
        <v>50</v>
      </c>
      <c r="AF14" s="180">
        <v>50</v>
      </c>
      <c r="AG14" s="180">
        <v>50</v>
      </c>
      <c r="AH14" s="180">
        <v>50</v>
      </c>
      <c r="AI14" s="180">
        <v>50</v>
      </c>
      <c r="AJ14" s="22"/>
      <c r="AK14" s="1" t="s">
        <v>39</v>
      </c>
      <c r="AL14" s="30" t="s">
        <v>166</v>
      </c>
      <c r="AM14" s="2">
        <v>0.36099999999999999</v>
      </c>
      <c r="AN14" s="1">
        <v>0</v>
      </c>
      <c r="AO14" s="1" t="s">
        <v>49</v>
      </c>
    </row>
    <row r="15" spans="1:47" ht="24" x14ac:dyDescent="0.3">
      <c r="A15" s="78">
        <v>4</v>
      </c>
      <c r="B15" s="78">
        <v>4</v>
      </c>
      <c r="C15" s="78">
        <v>2</v>
      </c>
      <c r="D15" s="78">
        <v>4</v>
      </c>
      <c r="E15" s="78">
        <v>4</v>
      </c>
      <c r="F15" s="78">
        <v>3</v>
      </c>
      <c r="G15" s="78">
        <v>3</v>
      </c>
      <c r="H15" s="78">
        <v>4</v>
      </c>
      <c r="I15" s="78">
        <v>4</v>
      </c>
      <c r="J15" s="78">
        <v>4</v>
      </c>
      <c r="K15" s="78">
        <v>4</v>
      </c>
      <c r="L15" s="78">
        <v>4</v>
      </c>
      <c r="M15" s="78">
        <v>4</v>
      </c>
      <c r="N15" s="78">
        <v>4</v>
      </c>
      <c r="O15" s="78">
        <v>4</v>
      </c>
      <c r="P15" s="171">
        <f t="shared" si="0"/>
        <v>56</v>
      </c>
      <c r="Q15" s="19"/>
      <c r="R15" s="236" t="s">
        <v>33</v>
      </c>
      <c r="S15" s="179" t="s">
        <v>42</v>
      </c>
      <c r="T15" s="181" t="s">
        <v>427</v>
      </c>
      <c r="U15" s="181" t="s">
        <v>438</v>
      </c>
      <c r="V15" s="181" t="s">
        <v>448</v>
      </c>
      <c r="W15" s="181" t="s">
        <v>456</v>
      </c>
      <c r="X15" s="180">
        <v>1</v>
      </c>
      <c r="Y15" s="181" t="s">
        <v>465</v>
      </c>
      <c r="Z15" s="181" t="s">
        <v>466</v>
      </c>
      <c r="AA15" s="181" t="s">
        <v>467</v>
      </c>
      <c r="AB15" s="181" t="s">
        <v>468</v>
      </c>
      <c r="AC15" s="181" t="s">
        <v>469</v>
      </c>
      <c r="AD15" s="181" t="s">
        <v>470</v>
      </c>
      <c r="AE15" s="181" t="s">
        <v>471</v>
      </c>
      <c r="AF15" s="181" t="s">
        <v>469</v>
      </c>
      <c r="AG15" s="181" t="s">
        <v>470</v>
      </c>
      <c r="AH15" s="181" t="s">
        <v>471</v>
      </c>
      <c r="AI15" s="181" t="s">
        <v>472</v>
      </c>
      <c r="AJ15" s="22"/>
      <c r="AK15" s="1" t="s">
        <v>40</v>
      </c>
      <c r="AL15" s="30" t="s">
        <v>167</v>
      </c>
      <c r="AM15" s="2">
        <v>0.36099999999999999</v>
      </c>
      <c r="AN15" s="1">
        <v>0</v>
      </c>
      <c r="AO15" s="1" t="s">
        <v>49</v>
      </c>
    </row>
    <row r="16" spans="1:47" ht="24" x14ac:dyDescent="0.3">
      <c r="A16" s="78">
        <v>2</v>
      </c>
      <c r="B16" s="78">
        <v>3</v>
      </c>
      <c r="C16" s="78">
        <v>2</v>
      </c>
      <c r="D16" s="78">
        <v>3</v>
      </c>
      <c r="E16" s="78">
        <v>3</v>
      </c>
      <c r="F16" s="78">
        <v>3</v>
      </c>
      <c r="G16" s="78">
        <v>3</v>
      </c>
      <c r="H16" s="78">
        <v>2</v>
      </c>
      <c r="I16" s="78">
        <v>3</v>
      </c>
      <c r="J16" s="78">
        <v>2</v>
      </c>
      <c r="K16" s="78">
        <v>2</v>
      </c>
      <c r="L16" s="78">
        <v>3</v>
      </c>
      <c r="M16" s="78">
        <v>2</v>
      </c>
      <c r="N16" s="78">
        <v>2</v>
      </c>
      <c r="O16" s="78">
        <v>3</v>
      </c>
      <c r="P16" s="171">
        <f t="shared" si="0"/>
        <v>38</v>
      </c>
      <c r="Q16" s="21"/>
      <c r="R16" s="236"/>
      <c r="S16" s="179" t="s">
        <v>43</v>
      </c>
      <c r="T16" s="183">
        <v>8.9229735351427505E-5</v>
      </c>
      <c r="U16" s="183">
        <v>4.7102645665171011E-5</v>
      </c>
      <c r="V16" s="183">
        <v>9.5094471391452798E-4</v>
      </c>
      <c r="W16" s="183">
        <v>3.1623845244797296E-4</v>
      </c>
      <c r="X16" s="182"/>
      <c r="Y16" s="183">
        <v>7.2916872032427514E-5</v>
      </c>
      <c r="Z16" s="183">
        <v>1.736966025665577E-4</v>
      </c>
      <c r="AA16" s="183">
        <v>2.2133648964031246E-4</v>
      </c>
      <c r="AB16" s="183">
        <v>3.0532402219263035E-5</v>
      </c>
      <c r="AC16" s="183">
        <v>7.4114466598423978E-6</v>
      </c>
      <c r="AD16" s="183">
        <v>1.5209938717589347E-4</v>
      </c>
      <c r="AE16" s="183">
        <v>1.3584344873304403E-3</v>
      </c>
      <c r="AF16" s="183">
        <v>7.4114466598423978E-6</v>
      </c>
      <c r="AG16" s="183">
        <v>1.5209938717589347E-4</v>
      </c>
      <c r="AH16" s="183">
        <v>1.3584344873304403E-3</v>
      </c>
      <c r="AI16" s="183">
        <v>7.1734075766635051E-10</v>
      </c>
      <c r="AJ16" s="22"/>
      <c r="AK16" s="1" t="s">
        <v>153</v>
      </c>
      <c r="AL16" s="30" t="s">
        <v>165</v>
      </c>
      <c r="AM16" s="2">
        <v>0.36099999999999999</v>
      </c>
      <c r="AN16" s="1">
        <v>0</v>
      </c>
      <c r="AO16" s="1" t="s">
        <v>49</v>
      </c>
    </row>
    <row r="17" spans="1:41" ht="15.6" x14ac:dyDescent="0.3">
      <c r="A17" s="78">
        <v>3</v>
      </c>
      <c r="B17" s="78">
        <v>3</v>
      </c>
      <c r="C17" s="78">
        <v>3</v>
      </c>
      <c r="D17" s="78">
        <v>3</v>
      </c>
      <c r="E17" s="78">
        <v>3</v>
      </c>
      <c r="F17" s="78">
        <v>3</v>
      </c>
      <c r="G17" s="78">
        <v>3</v>
      </c>
      <c r="H17" s="78">
        <v>3</v>
      </c>
      <c r="I17" s="78">
        <v>3</v>
      </c>
      <c r="J17" s="78">
        <v>4</v>
      </c>
      <c r="K17" s="78">
        <v>2</v>
      </c>
      <c r="L17" s="78">
        <v>3</v>
      </c>
      <c r="M17" s="78">
        <v>4</v>
      </c>
      <c r="N17" s="78">
        <v>2</v>
      </c>
      <c r="O17" s="78">
        <v>3</v>
      </c>
      <c r="P17" s="171">
        <f t="shared" si="0"/>
        <v>45</v>
      </c>
      <c r="Q17" s="18"/>
      <c r="R17" s="236"/>
      <c r="S17" s="179" t="s">
        <v>44</v>
      </c>
      <c r="T17" s="180">
        <v>50</v>
      </c>
      <c r="U17" s="180">
        <v>50</v>
      </c>
      <c r="V17" s="180">
        <v>50</v>
      </c>
      <c r="W17" s="180">
        <v>50</v>
      </c>
      <c r="X17" s="180">
        <v>50</v>
      </c>
      <c r="Y17" s="180">
        <v>50</v>
      </c>
      <c r="Z17" s="180">
        <v>50</v>
      </c>
      <c r="AA17" s="180">
        <v>50</v>
      </c>
      <c r="AB17" s="180">
        <v>50</v>
      </c>
      <c r="AC17" s="180">
        <v>50</v>
      </c>
      <c r="AD17" s="180">
        <v>50</v>
      </c>
      <c r="AE17" s="180">
        <v>50</v>
      </c>
      <c r="AF17" s="180">
        <v>50</v>
      </c>
      <c r="AG17" s="180">
        <v>50</v>
      </c>
      <c r="AH17" s="180">
        <v>50</v>
      </c>
      <c r="AI17" s="180">
        <v>50</v>
      </c>
      <c r="AJ17" s="22"/>
      <c r="AK17" s="1" t="s">
        <v>154</v>
      </c>
      <c r="AL17" s="30" t="s">
        <v>166</v>
      </c>
      <c r="AM17" s="2">
        <v>0.36099999999999999</v>
      </c>
      <c r="AN17" s="1">
        <v>0</v>
      </c>
      <c r="AO17" s="1" t="s">
        <v>49</v>
      </c>
    </row>
    <row r="18" spans="1:41" ht="24" x14ac:dyDescent="0.3">
      <c r="A18" s="78">
        <v>3</v>
      </c>
      <c r="B18" s="78">
        <v>4</v>
      </c>
      <c r="C18" s="78">
        <v>3</v>
      </c>
      <c r="D18" s="78">
        <v>3</v>
      </c>
      <c r="E18" s="78">
        <v>3</v>
      </c>
      <c r="F18" s="78">
        <v>3</v>
      </c>
      <c r="G18" s="78">
        <v>3</v>
      </c>
      <c r="H18" s="78">
        <v>4</v>
      </c>
      <c r="I18" s="78">
        <v>3</v>
      </c>
      <c r="J18" s="78">
        <v>3</v>
      </c>
      <c r="K18" s="78">
        <v>3</v>
      </c>
      <c r="L18" s="78">
        <v>4</v>
      </c>
      <c r="M18" s="78">
        <v>3</v>
      </c>
      <c r="N18" s="78">
        <v>3</v>
      </c>
      <c r="O18" s="78">
        <v>4</v>
      </c>
      <c r="P18" s="171">
        <f t="shared" si="0"/>
        <v>49</v>
      </c>
      <c r="Q18" s="19"/>
      <c r="R18" s="236" t="s">
        <v>34</v>
      </c>
      <c r="S18" s="179" t="s">
        <v>42</v>
      </c>
      <c r="T18" s="181" t="s">
        <v>428</v>
      </c>
      <c r="U18" s="181" t="s">
        <v>439</v>
      </c>
      <c r="V18" s="181" t="s">
        <v>449</v>
      </c>
      <c r="W18" s="181" t="s">
        <v>457</v>
      </c>
      <c r="X18" s="181" t="s">
        <v>465</v>
      </c>
      <c r="Y18" s="180">
        <v>1</v>
      </c>
      <c r="Z18" s="181" t="s">
        <v>431</v>
      </c>
      <c r="AA18" s="181" t="s">
        <v>425</v>
      </c>
      <c r="AB18" s="183">
        <v>0.25890165962529632</v>
      </c>
      <c r="AC18" s="181" t="s">
        <v>473</v>
      </c>
      <c r="AD18" s="181" t="s">
        <v>474</v>
      </c>
      <c r="AE18" s="181" t="s">
        <v>475</v>
      </c>
      <c r="AF18" s="181" t="s">
        <v>473</v>
      </c>
      <c r="AG18" s="181" t="s">
        <v>474</v>
      </c>
      <c r="AH18" s="181" t="s">
        <v>475</v>
      </c>
      <c r="AI18" s="181" t="s">
        <v>476</v>
      </c>
      <c r="AJ18" s="22"/>
      <c r="AK18" s="1" t="s">
        <v>155</v>
      </c>
      <c r="AL18" s="30" t="s">
        <v>167</v>
      </c>
      <c r="AM18" s="2">
        <v>0.36099999999999999</v>
      </c>
      <c r="AN18" s="1">
        <v>0</v>
      </c>
      <c r="AO18" s="1" t="s">
        <v>49</v>
      </c>
    </row>
    <row r="19" spans="1:41" ht="24" x14ac:dyDescent="0.3">
      <c r="A19" s="78">
        <v>3</v>
      </c>
      <c r="B19" s="78">
        <v>3</v>
      </c>
      <c r="C19" s="78">
        <v>4</v>
      </c>
      <c r="D19" s="78">
        <v>3</v>
      </c>
      <c r="E19" s="78">
        <v>3</v>
      </c>
      <c r="F19" s="78">
        <v>4</v>
      </c>
      <c r="G19" s="78">
        <v>3</v>
      </c>
      <c r="H19" s="78">
        <v>3</v>
      </c>
      <c r="I19" s="78">
        <v>2</v>
      </c>
      <c r="J19" s="78">
        <v>3</v>
      </c>
      <c r="K19" s="78">
        <v>3</v>
      </c>
      <c r="L19" s="78">
        <v>3</v>
      </c>
      <c r="M19" s="78">
        <v>3</v>
      </c>
      <c r="N19" s="78">
        <v>3</v>
      </c>
      <c r="O19" s="78">
        <v>3</v>
      </c>
      <c r="P19" s="171">
        <f t="shared" si="0"/>
        <v>46</v>
      </c>
      <c r="Q19" s="21"/>
      <c r="R19" s="236"/>
      <c r="S19" s="179" t="s">
        <v>43</v>
      </c>
      <c r="T19" s="183">
        <v>5.9756191568665499E-3</v>
      </c>
      <c r="U19" s="183">
        <v>4.3116814731464182E-4</v>
      </c>
      <c r="V19" s="183">
        <v>3.6663176930837383E-5</v>
      </c>
      <c r="W19" s="183">
        <v>4.0755931926648526E-3</v>
      </c>
      <c r="X19" s="183">
        <v>7.2916872032427514E-5</v>
      </c>
      <c r="Y19" s="182"/>
      <c r="Z19" s="183">
        <v>2.7245634668059701E-4</v>
      </c>
      <c r="AA19" s="183">
        <v>1.3779910199030055E-3</v>
      </c>
      <c r="AB19" s="183">
        <v>6.9447004344349264E-2</v>
      </c>
      <c r="AC19" s="183">
        <v>5.7077573943031823E-4</v>
      </c>
      <c r="AD19" s="183">
        <v>2.9441025677430965E-3</v>
      </c>
      <c r="AE19" s="183">
        <v>3.6773230436907803E-3</v>
      </c>
      <c r="AF19" s="183">
        <v>5.7077573943031823E-4</v>
      </c>
      <c r="AG19" s="183">
        <v>2.9441025677430965E-3</v>
      </c>
      <c r="AH19" s="183">
        <v>3.6773230436907803E-3</v>
      </c>
      <c r="AI19" s="183">
        <v>2.2883860168594137E-7</v>
      </c>
      <c r="AJ19" s="22"/>
    </row>
    <row r="20" spans="1:41" x14ac:dyDescent="0.3">
      <c r="A20" s="78">
        <v>5</v>
      </c>
      <c r="B20" s="78">
        <v>4</v>
      </c>
      <c r="C20" s="78">
        <v>3</v>
      </c>
      <c r="D20" s="78">
        <v>4</v>
      </c>
      <c r="E20" s="78">
        <v>4</v>
      </c>
      <c r="F20" s="78">
        <v>4</v>
      </c>
      <c r="G20" s="78">
        <v>4</v>
      </c>
      <c r="H20" s="78">
        <v>3</v>
      </c>
      <c r="I20" s="78">
        <v>3</v>
      </c>
      <c r="J20" s="78">
        <v>4</v>
      </c>
      <c r="K20" s="78">
        <v>4</v>
      </c>
      <c r="L20" s="78">
        <v>4</v>
      </c>
      <c r="M20" s="78">
        <v>4</v>
      </c>
      <c r="N20" s="78">
        <v>4</v>
      </c>
      <c r="O20" s="78">
        <v>4</v>
      </c>
      <c r="P20" s="171">
        <f t="shared" si="0"/>
        <v>58</v>
      </c>
      <c r="Q20" s="18"/>
      <c r="R20" s="236"/>
      <c r="S20" s="179" t="s">
        <v>44</v>
      </c>
      <c r="T20" s="180">
        <v>50</v>
      </c>
      <c r="U20" s="180">
        <v>50</v>
      </c>
      <c r="V20" s="180">
        <v>50</v>
      </c>
      <c r="W20" s="180">
        <v>50</v>
      </c>
      <c r="X20" s="180">
        <v>50</v>
      </c>
      <c r="Y20" s="180">
        <v>50</v>
      </c>
      <c r="Z20" s="180">
        <v>50</v>
      </c>
      <c r="AA20" s="180">
        <v>50</v>
      </c>
      <c r="AB20" s="180">
        <v>50</v>
      </c>
      <c r="AC20" s="180">
        <v>50</v>
      </c>
      <c r="AD20" s="180">
        <v>50</v>
      </c>
      <c r="AE20" s="180">
        <v>50</v>
      </c>
      <c r="AF20" s="180">
        <v>50</v>
      </c>
      <c r="AG20" s="180">
        <v>50</v>
      </c>
      <c r="AH20" s="180">
        <v>50</v>
      </c>
      <c r="AI20" s="180">
        <v>50</v>
      </c>
      <c r="AJ20" s="22"/>
    </row>
    <row r="21" spans="1:41" ht="24" x14ac:dyDescent="0.3">
      <c r="A21" s="78">
        <v>3</v>
      </c>
      <c r="B21" s="78">
        <v>3</v>
      </c>
      <c r="C21" s="78">
        <v>3</v>
      </c>
      <c r="D21" s="78">
        <v>3</v>
      </c>
      <c r="E21" s="78">
        <v>3</v>
      </c>
      <c r="F21" s="78">
        <v>4</v>
      </c>
      <c r="G21" s="78">
        <v>3</v>
      </c>
      <c r="H21" s="78">
        <v>3</v>
      </c>
      <c r="I21" s="78">
        <v>2</v>
      </c>
      <c r="J21" s="78">
        <v>3</v>
      </c>
      <c r="K21" s="78">
        <v>2</v>
      </c>
      <c r="L21" s="78">
        <v>3</v>
      </c>
      <c r="M21" s="78">
        <v>3</v>
      </c>
      <c r="N21" s="78">
        <v>2</v>
      </c>
      <c r="O21" s="78">
        <v>3</v>
      </c>
      <c r="P21" s="171">
        <f t="shared" si="0"/>
        <v>43</v>
      </c>
      <c r="Q21" s="19"/>
      <c r="R21" s="236" t="s">
        <v>35</v>
      </c>
      <c r="S21" s="179" t="s">
        <v>42</v>
      </c>
      <c r="T21" s="181" t="s">
        <v>429</v>
      </c>
      <c r="U21" s="181" t="s">
        <v>440</v>
      </c>
      <c r="V21" s="181" t="s">
        <v>450</v>
      </c>
      <c r="W21" s="181" t="s">
        <v>458</v>
      </c>
      <c r="X21" s="181" t="s">
        <v>466</v>
      </c>
      <c r="Y21" s="181" t="s">
        <v>431</v>
      </c>
      <c r="Z21" s="180">
        <v>1</v>
      </c>
      <c r="AA21" s="181" t="s">
        <v>477</v>
      </c>
      <c r="AB21" s="181" t="s">
        <v>478</v>
      </c>
      <c r="AC21" s="181" t="s">
        <v>479</v>
      </c>
      <c r="AD21" s="181" t="s">
        <v>462</v>
      </c>
      <c r="AE21" s="181" t="s">
        <v>463</v>
      </c>
      <c r="AF21" s="181" t="s">
        <v>479</v>
      </c>
      <c r="AG21" s="181" t="s">
        <v>462</v>
      </c>
      <c r="AH21" s="181" t="s">
        <v>463</v>
      </c>
      <c r="AI21" s="181" t="s">
        <v>480</v>
      </c>
      <c r="AJ21" s="22"/>
    </row>
    <row r="22" spans="1:41" ht="24" x14ac:dyDescent="0.3">
      <c r="A22" s="78">
        <v>3</v>
      </c>
      <c r="B22" s="78">
        <v>3</v>
      </c>
      <c r="C22" s="78">
        <v>3</v>
      </c>
      <c r="D22" s="78">
        <v>3</v>
      </c>
      <c r="E22" s="78">
        <v>3</v>
      </c>
      <c r="F22" s="78">
        <v>3</v>
      </c>
      <c r="G22" s="78">
        <v>3</v>
      </c>
      <c r="H22" s="78">
        <v>3</v>
      </c>
      <c r="I22" s="78">
        <v>3</v>
      </c>
      <c r="J22" s="78">
        <v>3</v>
      </c>
      <c r="K22" s="78">
        <v>3</v>
      </c>
      <c r="L22" s="78">
        <v>3</v>
      </c>
      <c r="M22" s="78">
        <v>3</v>
      </c>
      <c r="N22" s="78">
        <v>3</v>
      </c>
      <c r="O22" s="78">
        <v>3</v>
      </c>
      <c r="P22" s="171">
        <f t="shared" si="0"/>
        <v>45</v>
      </c>
      <c r="Q22" s="21"/>
      <c r="R22" s="236"/>
      <c r="S22" s="179" t="s">
        <v>43</v>
      </c>
      <c r="T22" s="183">
        <v>2.4761771448783966E-4</v>
      </c>
      <c r="U22" s="183">
        <v>3.858794848157811E-4</v>
      </c>
      <c r="V22" s="183">
        <v>2.3942221003147401E-3</v>
      </c>
      <c r="W22" s="183">
        <v>1.7103759109043591E-5</v>
      </c>
      <c r="X22" s="183">
        <v>1.736966025665577E-4</v>
      </c>
      <c r="Y22" s="183">
        <v>2.7245634668059701E-4</v>
      </c>
      <c r="Z22" s="182"/>
      <c r="AA22" s="183">
        <v>1.6177188589820192E-3</v>
      </c>
      <c r="AB22" s="183">
        <v>2.6544972868362011E-2</v>
      </c>
      <c r="AC22" s="183">
        <v>3.8707248968117749E-3</v>
      </c>
      <c r="AD22" s="183">
        <v>5.0126878912464369E-4</v>
      </c>
      <c r="AE22" s="183">
        <v>2.902589616550693E-3</v>
      </c>
      <c r="AF22" s="183">
        <v>3.8707248968117749E-3</v>
      </c>
      <c r="AG22" s="183">
        <v>5.0126878912464369E-4</v>
      </c>
      <c r="AH22" s="183">
        <v>2.902589616550693E-3</v>
      </c>
      <c r="AI22" s="183">
        <v>1.1685208587110692E-7</v>
      </c>
      <c r="AJ22" s="22"/>
    </row>
    <row r="23" spans="1:41" x14ac:dyDescent="0.3">
      <c r="A23" s="78">
        <v>4</v>
      </c>
      <c r="B23" s="78">
        <v>5</v>
      </c>
      <c r="C23" s="78">
        <v>5</v>
      </c>
      <c r="D23" s="78">
        <v>4</v>
      </c>
      <c r="E23" s="78">
        <v>4</v>
      </c>
      <c r="F23" s="78">
        <v>5</v>
      </c>
      <c r="G23" s="78">
        <v>4</v>
      </c>
      <c r="H23" s="78">
        <v>4</v>
      </c>
      <c r="I23" s="78">
        <v>4</v>
      </c>
      <c r="J23" s="78">
        <v>4</v>
      </c>
      <c r="K23" s="78">
        <v>5</v>
      </c>
      <c r="L23" s="78">
        <v>4</v>
      </c>
      <c r="M23" s="78">
        <v>4</v>
      </c>
      <c r="N23" s="78">
        <v>5</v>
      </c>
      <c r="O23" s="78">
        <v>4</v>
      </c>
      <c r="P23" s="171">
        <f t="shared" si="0"/>
        <v>65</v>
      </c>
      <c r="Q23" s="18"/>
      <c r="R23" s="236"/>
      <c r="S23" s="179" t="s">
        <v>44</v>
      </c>
      <c r="T23" s="180">
        <v>50</v>
      </c>
      <c r="U23" s="180">
        <v>50</v>
      </c>
      <c r="V23" s="180">
        <v>50</v>
      </c>
      <c r="W23" s="180">
        <v>50</v>
      </c>
      <c r="X23" s="180">
        <v>50</v>
      </c>
      <c r="Y23" s="180">
        <v>50</v>
      </c>
      <c r="Z23" s="180">
        <v>50</v>
      </c>
      <c r="AA23" s="180">
        <v>50</v>
      </c>
      <c r="AB23" s="180">
        <v>50</v>
      </c>
      <c r="AC23" s="180">
        <v>50</v>
      </c>
      <c r="AD23" s="180">
        <v>50</v>
      </c>
      <c r="AE23" s="180">
        <v>50</v>
      </c>
      <c r="AF23" s="180">
        <v>50</v>
      </c>
      <c r="AG23" s="180">
        <v>50</v>
      </c>
      <c r="AH23" s="180">
        <v>50</v>
      </c>
      <c r="AI23" s="180">
        <v>50</v>
      </c>
      <c r="AJ23" s="22"/>
    </row>
    <row r="24" spans="1:41" ht="24" x14ac:dyDescent="0.3">
      <c r="A24" s="78">
        <v>3</v>
      </c>
      <c r="B24" s="78">
        <v>3</v>
      </c>
      <c r="C24" s="78">
        <v>3</v>
      </c>
      <c r="D24" s="78">
        <v>4</v>
      </c>
      <c r="E24" s="78">
        <v>4</v>
      </c>
      <c r="F24" s="78">
        <v>4</v>
      </c>
      <c r="G24" s="78">
        <v>3</v>
      </c>
      <c r="H24" s="78">
        <v>4</v>
      </c>
      <c r="I24" s="78">
        <v>4</v>
      </c>
      <c r="J24" s="78">
        <v>4</v>
      </c>
      <c r="K24" s="78">
        <v>3</v>
      </c>
      <c r="L24" s="78">
        <v>3</v>
      </c>
      <c r="M24" s="78">
        <v>4</v>
      </c>
      <c r="N24" s="78">
        <v>3</v>
      </c>
      <c r="O24" s="78">
        <v>3</v>
      </c>
      <c r="P24" s="171">
        <f t="shared" si="0"/>
        <v>52</v>
      </c>
      <c r="Q24" s="19"/>
      <c r="R24" s="236" t="s">
        <v>36</v>
      </c>
      <c r="S24" s="179" t="s">
        <v>42</v>
      </c>
      <c r="T24" s="181" t="s">
        <v>430</v>
      </c>
      <c r="U24" s="181" t="s">
        <v>441</v>
      </c>
      <c r="V24" s="181" t="s">
        <v>451</v>
      </c>
      <c r="W24" s="181" t="s">
        <v>459</v>
      </c>
      <c r="X24" s="181" t="s">
        <v>467</v>
      </c>
      <c r="Y24" s="181" t="s">
        <v>425</v>
      </c>
      <c r="Z24" s="181" t="s">
        <v>477</v>
      </c>
      <c r="AA24" s="180">
        <v>1</v>
      </c>
      <c r="AB24" s="181" t="s">
        <v>461</v>
      </c>
      <c r="AC24" s="181" t="s">
        <v>481</v>
      </c>
      <c r="AD24" s="181" t="s">
        <v>482</v>
      </c>
      <c r="AE24" s="181" t="s">
        <v>483</v>
      </c>
      <c r="AF24" s="181" t="s">
        <v>481</v>
      </c>
      <c r="AG24" s="181" t="s">
        <v>482</v>
      </c>
      <c r="AH24" s="181" t="s">
        <v>483</v>
      </c>
      <c r="AI24" s="181" t="s">
        <v>484</v>
      </c>
      <c r="AJ24" s="22"/>
    </row>
    <row r="25" spans="1:41" ht="24" x14ac:dyDescent="0.3">
      <c r="A25" s="78">
        <v>4</v>
      </c>
      <c r="B25" s="78">
        <v>4</v>
      </c>
      <c r="C25" s="78">
        <v>4</v>
      </c>
      <c r="D25" s="78">
        <v>3</v>
      </c>
      <c r="E25" s="78">
        <v>4</v>
      </c>
      <c r="F25" s="78">
        <v>4</v>
      </c>
      <c r="G25" s="78">
        <v>3</v>
      </c>
      <c r="H25" s="78">
        <v>3</v>
      </c>
      <c r="I25" s="78">
        <v>4</v>
      </c>
      <c r="J25" s="78">
        <v>4</v>
      </c>
      <c r="K25" s="78">
        <v>3</v>
      </c>
      <c r="L25" s="78">
        <v>3</v>
      </c>
      <c r="M25" s="78">
        <v>4</v>
      </c>
      <c r="N25" s="78">
        <v>3</v>
      </c>
      <c r="O25" s="78">
        <v>3</v>
      </c>
      <c r="P25" s="171">
        <f t="shared" si="0"/>
        <v>53</v>
      </c>
      <c r="Q25" s="21"/>
      <c r="R25" s="236"/>
      <c r="S25" s="179" t="s">
        <v>43</v>
      </c>
      <c r="T25" s="183">
        <v>3.1955926357220217E-4</v>
      </c>
      <c r="U25" s="183">
        <v>2.7309720635615144E-6</v>
      </c>
      <c r="V25" s="183">
        <v>1.077667541777615E-4</v>
      </c>
      <c r="W25" s="183">
        <v>2.8951549512741125E-5</v>
      </c>
      <c r="X25" s="183">
        <v>2.2133648964031246E-4</v>
      </c>
      <c r="Y25" s="183">
        <v>1.3779910199030055E-3</v>
      </c>
      <c r="Z25" s="183">
        <v>1.6177188589820192E-3</v>
      </c>
      <c r="AA25" s="182"/>
      <c r="AB25" s="183">
        <v>5.0642432096774262E-5</v>
      </c>
      <c r="AC25" s="183">
        <v>1.9575143470520382E-3</v>
      </c>
      <c r="AD25" s="183">
        <v>4.401755459385475E-5</v>
      </c>
      <c r="AE25" s="183">
        <v>7.4498526161393132E-5</v>
      </c>
      <c r="AF25" s="183">
        <v>1.9575143470520382E-3</v>
      </c>
      <c r="AG25" s="183">
        <v>4.401755459385475E-5</v>
      </c>
      <c r="AH25" s="183">
        <v>7.4498526161393132E-5</v>
      </c>
      <c r="AI25" s="183">
        <v>6.4465412017563784E-10</v>
      </c>
      <c r="AJ25" s="22"/>
    </row>
    <row r="26" spans="1:41" x14ac:dyDescent="0.3">
      <c r="A26" s="78">
        <v>3</v>
      </c>
      <c r="B26" s="78">
        <v>2</v>
      </c>
      <c r="C26" s="78">
        <v>3</v>
      </c>
      <c r="D26" s="78">
        <v>4</v>
      </c>
      <c r="E26" s="78">
        <v>3</v>
      </c>
      <c r="F26" s="78">
        <v>3</v>
      </c>
      <c r="G26" s="78">
        <v>3</v>
      </c>
      <c r="H26" s="78">
        <v>3</v>
      </c>
      <c r="I26" s="78">
        <v>3</v>
      </c>
      <c r="J26" s="78">
        <v>3</v>
      </c>
      <c r="K26" s="78">
        <v>3</v>
      </c>
      <c r="L26" s="78">
        <v>3</v>
      </c>
      <c r="M26" s="78">
        <v>3</v>
      </c>
      <c r="N26" s="78">
        <v>3</v>
      </c>
      <c r="O26" s="78">
        <v>3</v>
      </c>
      <c r="P26" s="171">
        <f t="shared" si="0"/>
        <v>45</v>
      </c>
      <c r="Q26" s="18"/>
      <c r="R26" s="236"/>
      <c r="S26" s="179" t="s">
        <v>44</v>
      </c>
      <c r="T26" s="180">
        <v>50</v>
      </c>
      <c r="U26" s="180">
        <v>50</v>
      </c>
      <c r="V26" s="180">
        <v>50</v>
      </c>
      <c r="W26" s="180">
        <v>50</v>
      </c>
      <c r="X26" s="180">
        <v>50</v>
      </c>
      <c r="Y26" s="180">
        <v>50</v>
      </c>
      <c r="Z26" s="180">
        <v>50</v>
      </c>
      <c r="AA26" s="180">
        <v>50</v>
      </c>
      <c r="AB26" s="180">
        <v>50</v>
      </c>
      <c r="AC26" s="180">
        <v>50</v>
      </c>
      <c r="AD26" s="180">
        <v>50</v>
      </c>
      <c r="AE26" s="180">
        <v>50</v>
      </c>
      <c r="AF26" s="180">
        <v>50</v>
      </c>
      <c r="AG26" s="180">
        <v>50</v>
      </c>
      <c r="AH26" s="180">
        <v>50</v>
      </c>
      <c r="AI26" s="180">
        <v>50</v>
      </c>
      <c r="AJ26" s="22"/>
    </row>
    <row r="27" spans="1:41" ht="24" x14ac:dyDescent="0.3">
      <c r="A27" s="78">
        <v>3</v>
      </c>
      <c r="B27" s="78">
        <v>3</v>
      </c>
      <c r="C27" s="78">
        <v>3</v>
      </c>
      <c r="D27" s="78">
        <v>3</v>
      </c>
      <c r="E27" s="78">
        <v>4</v>
      </c>
      <c r="F27" s="78">
        <v>4</v>
      </c>
      <c r="G27" s="78">
        <v>4</v>
      </c>
      <c r="H27" s="78">
        <v>3</v>
      </c>
      <c r="I27" s="78">
        <v>4</v>
      </c>
      <c r="J27" s="78">
        <v>4</v>
      </c>
      <c r="K27" s="78">
        <v>3</v>
      </c>
      <c r="L27" s="78">
        <v>3</v>
      </c>
      <c r="M27" s="78">
        <v>4</v>
      </c>
      <c r="N27" s="78">
        <v>3</v>
      </c>
      <c r="O27" s="78">
        <v>3</v>
      </c>
      <c r="P27" s="171">
        <f t="shared" si="0"/>
        <v>51</v>
      </c>
      <c r="Q27" s="19"/>
      <c r="R27" s="236" t="s">
        <v>37</v>
      </c>
      <c r="S27" s="179" t="s">
        <v>42</v>
      </c>
      <c r="T27" s="181" t="s">
        <v>431</v>
      </c>
      <c r="U27" s="181" t="s">
        <v>442</v>
      </c>
      <c r="V27" s="181" t="s">
        <v>450</v>
      </c>
      <c r="W27" s="181" t="s">
        <v>460</v>
      </c>
      <c r="X27" s="181" t="s">
        <v>468</v>
      </c>
      <c r="Y27" s="183">
        <v>0.25890165962529632</v>
      </c>
      <c r="Z27" s="181" t="s">
        <v>478</v>
      </c>
      <c r="AA27" s="181" t="s">
        <v>461</v>
      </c>
      <c r="AB27" s="180">
        <v>1</v>
      </c>
      <c r="AC27" s="181" t="s">
        <v>485</v>
      </c>
      <c r="AD27" s="181" t="s">
        <v>486</v>
      </c>
      <c r="AE27" s="181" t="s">
        <v>487</v>
      </c>
      <c r="AF27" s="181" t="s">
        <v>485</v>
      </c>
      <c r="AG27" s="181" t="s">
        <v>486</v>
      </c>
      <c r="AH27" s="181" t="s">
        <v>487</v>
      </c>
      <c r="AI27" s="181" t="s">
        <v>488</v>
      </c>
      <c r="AJ27" s="22"/>
    </row>
    <row r="28" spans="1:41" ht="24" x14ac:dyDescent="0.3">
      <c r="A28" s="78">
        <v>4</v>
      </c>
      <c r="B28" s="78">
        <v>4</v>
      </c>
      <c r="C28" s="78">
        <v>4</v>
      </c>
      <c r="D28" s="78">
        <v>3</v>
      </c>
      <c r="E28" s="78">
        <v>3</v>
      </c>
      <c r="F28" s="78">
        <v>4</v>
      </c>
      <c r="G28" s="78">
        <v>4</v>
      </c>
      <c r="H28" s="78">
        <v>3</v>
      </c>
      <c r="I28" s="78">
        <v>3</v>
      </c>
      <c r="J28" s="78">
        <v>3</v>
      </c>
      <c r="K28" s="78">
        <v>3</v>
      </c>
      <c r="L28" s="78">
        <v>4</v>
      </c>
      <c r="M28" s="78">
        <v>3</v>
      </c>
      <c r="N28" s="78">
        <v>3</v>
      </c>
      <c r="O28" s="78">
        <v>4</v>
      </c>
      <c r="P28" s="171">
        <f t="shared" si="0"/>
        <v>52</v>
      </c>
      <c r="Q28" s="21"/>
      <c r="R28" s="236"/>
      <c r="S28" s="179" t="s">
        <v>43</v>
      </c>
      <c r="T28" s="183">
        <v>2.7187651555958043E-4</v>
      </c>
      <c r="U28" s="183">
        <v>1.1268591785212053E-4</v>
      </c>
      <c r="V28" s="183">
        <v>2.3714694215667517E-3</v>
      </c>
      <c r="W28" s="183">
        <v>1.6345907623135442E-5</v>
      </c>
      <c r="X28" s="183">
        <v>3.0532402219263035E-5</v>
      </c>
      <c r="Y28" s="183">
        <v>6.9447004344349264E-2</v>
      </c>
      <c r="Z28" s="183">
        <v>2.6544972868362011E-2</v>
      </c>
      <c r="AA28" s="183">
        <v>5.0642432096774262E-5</v>
      </c>
      <c r="AB28" s="182"/>
      <c r="AC28" s="183">
        <v>5.4939693328754642E-5</v>
      </c>
      <c r="AD28" s="183">
        <v>1.0669258554608945E-4</v>
      </c>
      <c r="AE28" s="183">
        <v>3.1890211347467633E-2</v>
      </c>
      <c r="AF28" s="183">
        <v>5.4939693328754642E-5</v>
      </c>
      <c r="AG28" s="183">
        <v>1.0669258554608945E-4</v>
      </c>
      <c r="AH28" s="183">
        <v>3.1890211347467633E-2</v>
      </c>
      <c r="AI28" s="183">
        <v>8.4848741116905695E-8</v>
      </c>
      <c r="AJ28" s="22"/>
    </row>
    <row r="29" spans="1:41" x14ac:dyDescent="0.3">
      <c r="A29" s="78">
        <v>3</v>
      </c>
      <c r="B29" s="78">
        <v>3</v>
      </c>
      <c r="C29" s="78">
        <v>3</v>
      </c>
      <c r="D29" s="78">
        <v>3</v>
      </c>
      <c r="E29" s="78">
        <v>3</v>
      </c>
      <c r="F29" s="78">
        <v>3</v>
      </c>
      <c r="G29" s="78">
        <v>3</v>
      </c>
      <c r="H29" s="78">
        <v>2</v>
      </c>
      <c r="I29" s="78">
        <v>3</v>
      </c>
      <c r="J29" s="78">
        <v>3</v>
      </c>
      <c r="K29" s="78">
        <v>3</v>
      </c>
      <c r="L29" s="78">
        <v>3</v>
      </c>
      <c r="M29" s="78">
        <v>3</v>
      </c>
      <c r="N29" s="78">
        <v>3</v>
      </c>
      <c r="O29" s="78">
        <v>3</v>
      </c>
      <c r="P29" s="171">
        <f t="shared" si="0"/>
        <v>44</v>
      </c>
      <c r="Q29" s="18"/>
      <c r="R29" s="236"/>
      <c r="S29" s="179" t="s">
        <v>44</v>
      </c>
      <c r="T29" s="180">
        <v>50</v>
      </c>
      <c r="U29" s="180">
        <v>50</v>
      </c>
      <c r="V29" s="180">
        <v>50</v>
      </c>
      <c r="W29" s="180">
        <v>50</v>
      </c>
      <c r="X29" s="180">
        <v>50</v>
      </c>
      <c r="Y29" s="180">
        <v>50</v>
      </c>
      <c r="Z29" s="180">
        <v>50</v>
      </c>
      <c r="AA29" s="180">
        <v>50</v>
      </c>
      <c r="AB29" s="180">
        <v>50</v>
      </c>
      <c r="AC29" s="180">
        <v>50</v>
      </c>
      <c r="AD29" s="180">
        <v>50</v>
      </c>
      <c r="AE29" s="180">
        <v>50</v>
      </c>
      <c r="AF29" s="180">
        <v>50</v>
      </c>
      <c r="AG29" s="180">
        <v>50</v>
      </c>
      <c r="AH29" s="180">
        <v>50</v>
      </c>
      <c r="AI29" s="180">
        <v>50</v>
      </c>
      <c r="AJ29" s="22"/>
    </row>
    <row r="30" spans="1:41" ht="24" x14ac:dyDescent="0.3">
      <c r="A30" s="78">
        <v>4</v>
      </c>
      <c r="B30" s="78">
        <v>3</v>
      </c>
      <c r="C30" s="78">
        <v>4</v>
      </c>
      <c r="D30" s="78">
        <v>4</v>
      </c>
      <c r="E30" s="78">
        <v>4</v>
      </c>
      <c r="F30" s="78">
        <v>4</v>
      </c>
      <c r="G30" s="78">
        <v>4</v>
      </c>
      <c r="H30" s="78">
        <v>4</v>
      </c>
      <c r="I30" s="78">
        <v>4</v>
      </c>
      <c r="J30" s="78">
        <v>4</v>
      </c>
      <c r="K30" s="78">
        <v>4</v>
      </c>
      <c r="L30" s="78">
        <v>4</v>
      </c>
      <c r="M30" s="78">
        <v>4</v>
      </c>
      <c r="N30" s="78">
        <v>4</v>
      </c>
      <c r="O30" s="78">
        <v>4</v>
      </c>
      <c r="P30" s="171">
        <f t="shared" si="0"/>
        <v>59</v>
      </c>
      <c r="Q30" s="19"/>
      <c r="R30" s="236" t="s">
        <v>38</v>
      </c>
      <c r="S30" s="179" t="s">
        <v>42</v>
      </c>
      <c r="T30" s="181" t="s">
        <v>432</v>
      </c>
      <c r="U30" s="181" t="s">
        <v>443</v>
      </c>
      <c r="V30" s="181" t="s">
        <v>452</v>
      </c>
      <c r="W30" s="181" t="s">
        <v>461</v>
      </c>
      <c r="X30" s="181" t="s">
        <v>469</v>
      </c>
      <c r="Y30" s="181" t="s">
        <v>473</v>
      </c>
      <c r="Z30" s="181" t="s">
        <v>479</v>
      </c>
      <c r="AA30" s="181" t="s">
        <v>481</v>
      </c>
      <c r="AB30" s="181" t="s">
        <v>485</v>
      </c>
      <c r="AC30" s="180">
        <v>1</v>
      </c>
      <c r="AD30" s="181" t="s">
        <v>489</v>
      </c>
      <c r="AE30" s="181" t="s">
        <v>490</v>
      </c>
      <c r="AF30" s="181" t="s">
        <v>491</v>
      </c>
      <c r="AG30" s="181" t="s">
        <v>489</v>
      </c>
      <c r="AH30" s="181" t="s">
        <v>490</v>
      </c>
      <c r="AI30" s="181" t="s">
        <v>492</v>
      </c>
      <c r="AJ30" s="22"/>
    </row>
    <row r="31" spans="1:41" ht="24" x14ac:dyDescent="0.3">
      <c r="A31" s="78">
        <v>3</v>
      </c>
      <c r="B31" s="78">
        <v>3</v>
      </c>
      <c r="C31" s="78">
        <v>3</v>
      </c>
      <c r="D31" s="78">
        <v>4</v>
      </c>
      <c r="E31" s="78">
        <v>4</v>
      </c>
      <c r="F31" s="78">
        <v>4</v>
      </c>
      <c r="G31" s="78">
        <v>5</v>
      </c>
      <c r="H31" s="78">
        <v>3</v>
      </c>
      <c r="I31" s="78">
        <v>3</v>
      </c>
      <c r="J31" s="78">
        <v>3</v>
      </c>
      <c r="K31" s="78">
        <v>4</v>
      </c>
      <c r="L31" s="78">
        <v>3</v>
      </c>
      <c r="M31" s="78">
        <v>3</v>
      </c>
      <c r="N31" s="78">
        <v>4</v>
      </c>
      <c r="O31" s="78">
        <v>3</v>
      </c>
      <c r="P31" s="171">
        <f t="shared" si="0"/>
        <v>52</v>
      </c>
      <c r="Q31" s="21"/>
      <c r="R31" s="236"/>
      <c r="S31" s="179" t="s">
        <v>43</v>
      </c>
      <c r="T31" s="183">
        <v>2.7043225436003156E-5</v>
      </c>
      <c r="U31" s="183">
        <v>8.2659836805649495E-5</v>
      </c>
      <c r="V31" s="183">
        <v>4.905944801356281E-4</v>
      </c>
      <c r="W31" s="183">
        <v>4.9748112920623785E-5</v>
      </c>
      <c r="X31" s="183">
        <v>7.4114466598423978E-6</v>
      </c>
      <c r="Y31" s="183">
        <v>5.7077573943031823E-4</v>
      </c>
      <c r="Z31" s="183">
        <v>3.8707248968117749E-3</v>
      </c>
      <c r="AA31" s="183">
        <v>1.9575143470520382E-3</v>
      </c>
      <c r="AB31" s="183">
        <v>5.4939693328754642E-5</v>
      </c>
      <c r="AC31" s="182"/>
      <c r="AD31" s="183">
        <v>9.8162363671460513E-4</v>
      </c>
      <c r="AE31" s="183">
        <v>1.1729973264331213E-2</v>
      </c>
      <c r="AF31" s="183">
        <v>0</v>
      </c>
      <c r="AG31" s="183">
        <v>9.8162363671460513E-4</v>
      </c>
      <c r="AH31" s="183">
        <v>1.1729973264331213E-2</v>
      </c>
      <c r="AI31" s="183">
        <v>4.2796617465535503E-10</v>
      </c>
      <c r="AJ31" s="22"/>
    </row>
    <row r="32" spans="1:41" x14ac:dyDescent="0.3">
      <c r="A32" s="78">
        <v>5</v>
      </c>
      <c r="B32" s="78">
        <v>4</v>
      </c>
      <c r="C32" s="78">
        <v>3</v>
      </c>
      <c r="D32" s="78">
        <v>4</v>
      </c>
      <c r="E32" s="78">
        <v>3</v>
      </c>
      <c r="F32" s="78">
        <v>3</v>
      </c>
      <c r="G32" s="78">
        <v>4</v>
      </c>
      <c r="H32" s="78">
        <v>3</v>
      </c>
      <c r="I32" s="78">
        <v>4</v>
      </c>
      <c r="J32" s="78">
        <v>4</v>
      </c>
      <c r="K32" s="78">
        <v>4</v>
      </c>
      <c r="L32" s="78">
        <v>3</v>
      </c>
      <c r="M32" s="78">
        <v>4</v>
      </c>
      <c r="N32" s="78">
        <v>4</v>
      </c>
      <c r="O32" s="78">
        <v>3</v>
      </c>
      <c r="P32" s="171">
        <f t="shared" si="0"/>
        <v>55</v>
      </c>
      <c r="Q32" s="18"/>
      <c r="R32" s="236"/>
      <c r="S32" s="179" t="s">
        <v>44</v>
      </c>
      <c r="T32" s="180">
        <v>50</v>
      </c>
      <c r="U32" s="180">
        <v>50</v>
      </c>
      <c r="V32" s="180">
        <v>50</v>
      </c>
      <c r="W32" s="180">
        <v>50</v>
      </c>
      <c r="X32" s="180">
        <v>50</v>
      </c>
      <c r="Y32" s="180">
        <v>50</v>
      </c>
      <c r="Z32" s="180">
        <v>50</v>
      </c>
      <c r="AA32" s="180">
        <v>50</v>
      </c>
      <c r="AB32" s="180">
        <v>50</v>
      </c>
      <c r="AC32" s="180">
        <v>50</v>
      </c>
      <c r="AD32" s="180">
        <v>50</v>
      </c>
      <c r="AE32" s="180">
        <v>50</v>
      </c>
      <c r="AF32" s="180">
        <v>50</v>
      </c>
      <c r="AG32" s="180">
        <v>50</v>
      </c>
      <c r="AH32" s="180">
        <v>50</v>
      </c>
      <c r="AI32" s="180">
        <v>50</v>
      </c>
      <c r="AJ32" s="22"/>
    </row>
    <row r="33" spans="1:36" ht="24" x14ac:dyDescent="0.3">
      <c r="A33" s="78">
        <v>4</v>
      </c>
      <c r="B33" s="78">
        <v>3</v>
      </c>
      <c r="C33" s="78">
        <v>3</v>
      </c>
      <c r="D33" s="78">
        <v>3</v>
      </c>
      <c r="E33" s="78">
        <v>3</v>
      </c>
      <c r="F33" s="78">
        <v>3</v>
      </c>
      <c r="G33" s="78">
        <v>3</v>
      </c>
      <c r="H33" s="78">
        <v>4</v>
      </c>
      <c r="I33" s="78">
        <v>3</v>
      </c>
      <c r="J33" s="78">
        <v>3</v>
      </c>
      <c r="K33" s="78">
        <v>4</v>
      </c>
      <c r="L33" s="78">
        <v>3</v>
      </c>
      <c r="M33" s="78">
        <v>3</v>
      </c>
      <c r="N33" s="78">
        <v>4</v>
      </c>
      <c r="O33" s="78">
        <v>3</v>
      </c>
      <c r="P33" s="171">
        <f t="shared" si="0"/>
        <v>49</v>
      </c>
      <c r="Q33" s="19"/>
      <c r="R33" s="236" t="s">
        <v>39</v>
      </c>
      <c r="S33" s="179" t="s">
        <v>42</v>
      </c>
      <c r="T33" s="181" t="s">
        <v>433</v>
      </c>
      <c r="U33" s="181" t="s">
        <v>444</v>
      </c>
      <c r="V33" s="181" t="s">
        <v>453</v>
      </c>
      <c r="W33" s="181" t="s">
        <v>462</v>
      </c>
      <c r="X33" s="181" t="s">
        <v>470</v>
      </c>
      <c r="Y33" s="181" t="s">
        <v>474</v>
      </c>
      <c r="Z33" s="181" t="s">
        <v>462</v>
      </c>
      <c r="AA33" s="181" t="s">
        <v>482</v>
      </c>
      <c r="AB33" s="181" t="s">
        <v>486</v>
      </c>
      <c r="AC33" s="181" t="s">
        <v>489</v>
      </c>
      <c r="AD33" s="180">
        <v>1</v>
      </c>
      <c r="AE33" s="181" t="s">
        <v>462</v>
      </c>
      <c r="AF33" s="181" t="s">
        <v>489</v>
      </c>
      <c r="AG33" s="181" t="s">
        <v>491</v>
      </c>
      <c r="AH33" s="181" t="s">
        <v>462</v>
      </c>
      <c r="AI33" s="181" t="s">
        <v>493</v>
      </c>
      <c r="AJ33" s="22"/>
    </row>
    <row r="34" spans="1:36" ht="24" x14ac:dyDescent="0.3">
      <c r="A34" s="78">
        <v>4</v>
      </c>
      <c r="B34" s="78">
        <v>5</v>
      </c>
      <c r="C34" s="78">
        <v>5</v>
      </c>
      <c r="D34" s="78">
        <v>4</v>
      </c>
      <c r="E34" s="78">
        <v>4</v>
      </c>
      <c r="F34" s="78">
        <v>4</v>
      </c>
      <c r="G34" s="78">
        <v>4</v>
      </c>
      <c r="H34" s="78">
        <v>4</v>
      </c>
      <c r="I34" s="78">
        <v>4</v>
      </c>
      <c r="J34" s="78">
        <v>5</v>
      </c>
      <c r="K34" s="78">
        <v>4</v>
      </c>
      <c r="L34" s="78">
        <v>4</v>
      </c>
      <c r="M34" s="78">
        <v>5</v>
      </c>
      <c r="N34" s="78">
        <v>4</v>
      </c>
      <c r="O34" s="78">
        <v>4</v>
      </c>
      <c r="P34" s="171">
        <f t="shared" si="0"/>
        <v>64</v>
      </c>
      <c r="Q34" s="21"/>
      <c r="R34" s="236"/>
      <c r="S34" s="179" t="s">
        <v>43</v>
      </c>
      <c r="T34" s="183">
        <v>2.0570887078700892E-6</v>
      </c>
      <c r="U34" s="183">
        <v>7.6055124591566071E-4</v>
      </c>
      <c r="V34" s="183">
        <v>2.2555681098401178E-3</v>
      </c>
      <c r="W34" s="183">
        <v>5.0321290435732281E-4</v>
      </c>
      <c r="X34" s="183">
        <v>1.5209938717589347E-4</v>
      </c>
      <c r="Y34" s="183">
        <v>2.9441025677430965E-3</v>
      </c>
      <c r="Z34" s="183">
        <v>5.0126878912464369E-4</v>
      </c>
      <c r="AA34" s="183">
        <v>4.401755459385475E-5</v>
      </c>
      <c r="AB34" s="183">
        <v>1.0669258554608945E-4</v>
      </c>
      <c r="AC34" s="183">
        <v>9.8162363671460513E-4</v>
      </c>
      <c r="AD34" s="182"/>
      <c r="AE34" s="183">
        <v>5.0617789324362557E-4</v>
      </c>
      <c r="AF34" s="183">
        <v>9.8162363671460513E-4</v>
      </c>
      <c r="AG34" s="183">
        <v>0</v>
      </c>
      <c r="AH34" s="183">
        <v>5.0617789324362557E-4</v>
      </c>
      <c r="AI34" s="183">
        <v>9.547698754650903E-11</v>
      </c>
      <c r="AJ34" s="22"/>
    </row>
    <row r="35" spans="1:36" x14ac:dyDescent="0.3">
      <c r="A35" s="78">
        <v>3</v>
      </c>
      <c r="B35" s="78">
        <v>4</v>
      </c>
      <c r="C35" s="78">
        <v>4</v>
      </c>
      <c r="D35" s="78">
        <v>4</v>
      </c>
      <c r="E35" s="78">
        <v>3</v>
      </c>
      <c r="F35" s="78">
        <v>3</v>
      </c>
      <c r="G35" s="78">
        <v>3</v>
      </c>
      <c r="H35" s="78">
        <v>4</v>
      </c>
      <c r="I35" s="78">
        <v>4</v>
      </c>
      <c r="J35" s="78">
        <v>4</v>
      </c>
      <c r="K35" s="78">
        <v>3</v>
      </c>
      <c r="L35" s="78">
        <v>4</v>
      </c>
      <c r="M35" s="78">
        <v>4</v>
      </c>
      <c r="N35" s="78">
        <v>3</v>
      </c>
      <c r="O35" s="78">
        <v>4</v>
      </c>
      <c r="P35" s="171">
        <f t="shared" si="0"/>
        <v>54</v>
      </c>
      <c r="Q35" s="18"/>
      <c r="R35" s="236"/>
      <c r="S35" s="179" t="s">
        <v>44</v>
      </c>
      <c r="T35" s="180">
        <v>50</v>
      </c>
      <c r="U35" s="180">
        <v>50</v>
      </c>
      <c r="V35" s="180">
        <v>50</v>
      </c>
      <c r="W35" s="180">
        <v>50</v>
      </c>
      <c r="X35" s="180">
        <v>50</v>
      </c>
      <c r="Y35" s="180">
        <v>50</v>
      </c>
      <c r="Z35" s="180">
        <v>50</v>
      </c>
      <c r="AA35" s="180">
        <v>50</v>
      </c>
      <c r="AB35" s="180">
        <v>50</v>
      </c>
      <c r="AC35" s="180">
        <v>50</v>
      </c>
      <c r="AD35" s="180">
        <v>50</v>
      </c>
      <c r="AE35" s="180">
        <v>50</v>
      </c>
      <c r="AF35" s="180">
        <v>50</v>
      </c>
      <c r="AG35" s="180">
        <v>50</v>
      </c>
      <c r="AH35" s="180">
        <v>50</v>
      </c>
      <c r="AI35" s="180">
        <v>50</v>
      </c>
      <c r="AJ35" s="22"/>
    </row>
    <row r="36" spans="1:36" ht="24" x14ac:dyDescent="0.3">
      <c r="A36" s="78">
        <v>3</v>
      </c>
      <c r="B36" s="78">
        <v>3</v>
      </c>
      <c r="C36" s="78">
        <v>3</v>
      </c>
      <c r="D36" s="78">
        <v>3</v>
      </c>
      <c r="E36" s="78">
        <v>3</v>
      </c>
      <c r="F36" s="78">
        <v>3</v>
      </c>
      <c r="G36" s="78">
        <v>3</v>
      </c>
      <c r="H36" s="78">
        <v>3</v>
      </c>
      <c r="I36" s="78">
        <v>4</v>
      </c>
      <c r="J36" s="78">
        <v>3</v>
      </c>
      <c r="K36" s="78">
        <v>3</v>
      </c>
      <c r="L36" s="78">
        <v>2</v>
      </c>
      <c r="M36" s="78">
        <v>3</v>
      </c>
      <c r="N36" s="78">
        <v>3</v>
      </c>
      <c r="O36" s="78">
        <v>2</v>
      </c>
      <c r="P36" s="171">
        <f t="shared" si="0"/>
        <v>44</v>
      </c>
      <c r="Q36" s="19"/>
      <c r="R36" s="236" t="s">
        <v>40</v>
      </c>
      <c r="S36" s="179" t="s">
        <v>42</v>
      </c>
      <c r="T36" s="181" t="s">
        <v>434</v>
      </c>
      <c r="U36" s="181" t="s">
        <v>445</v>
      </c>
      <c r="V36" s="181" t="s">
        <v>454</v>
      </c>
      <c r="W36" s="181" t="s">
        <v>463</v>
      </c>
      <c r="X36" s="181" t="s">
        <v>471</v>
      </c>
      <c r="Y36" s="181" t="s">
        <v>475</v>
      </c>
      <c r="Z36" s="181" t="s">
        <v>463</v>
      </c>
      <c r="AA36" s="181" t="s">
        <v>483</v>
      </c>
      <c r="AB36" s="181" t="s">
        <v>487</v>
      </c>
      <c r="AC36" s="181" t="s">
        <v>490</v>
      </c>
      <c r="AD36" s="181" t="s">
        <v>462</v>
      </c>
      <c r="AE36" s="180">
        <v>1</v>
      </c>
      <c r="AF36" s="181" t="s">
        <v>490</v>
      </c>
      <c r="AG36" s="181" t="s">
        <v>462</v>
      </c>
      <c r="AH36" s="181" t="s">
        <v>491</v>
      </c>
      <c r="AI36" s="181" t="s">
        <v>494</v>
      </c>
      <c r="AJ36" s="22"/>
    </row>
    <row r="37" spans="1:36" ht="24" x14ac:dyDescent="0.3">
      <c r="A37" s="78">
        <v>4</v>
      </c>
      <c r="B37" s="78">
        <v>5</v>
      </c>
      <c r="C37" s="78">
        <v>5</v>
      </c>
      <c r="D37" s="78">
        <v>4</v>
      </c>
      <c r="E37" s="78">
        <v>4</v>
      </c>
      <c r="F37" s="78">
        <v>5</v>
      </c>
      <c r="G37" s="78">
        <v>4</v>
      </c>
      <c r="H37" s="78">
        <v>4</v>
      </c>
      <c r="I37" s="78">
        <v>4</v>
      </c>
      <c r="J37" s="78">
        <v>4</v>
      </c>
      <c r="K37" s="78">
        <v>4</v>
      </c>
      <c r="L37" s="78">
        <v>4</v>
      </c>
      <c r="M37" s="78">
        <v>4</v>
      </c>
      <c r="N37" s="78">
        <v>4</v>
      </c>
      <c r="O37" s="78">
        <v>4</v>
      </c>
      <c r="P37" s="171">
        <f t="shared" si="0"/>
        <v>63</v>
      </c>
      <c r="Q37" s="21"/>
      <c r="R37" s="236"/>
      <c r="S37" s="179" t="s">
        <v>43</v>
      </c>
      <c r="T37" s="183">
        <v>2.6567455798416157E-4</v>
      </c>
      <c r="U37" s="183">
        <v>2.1393605838518543E-5</v>
      </c>
      <c r="V37" s="183">
        <v>7.8413400052797157E-4</v>
      </c>
      <c r="W37" s="183">
        <v>2.9039616294427853E-3</v>
      </c>
      <c r="X37" s="183">
        <v>1.3584344873304403E-3</v>
      </c>
      <c r="Y37" s="183">
        <v>3.6773230436907803E-3</v>
      </c>
      <c r="Z37" s="183">
        <v>2.902589616550693E-3</v>
      </c>
      <c r="AA37" s="183">
        <v>7.4498526161393132E-5</v>
      </c>
      <c r="AB37" s="183">
        <v>3.1890211347467633E-2</v>
      </c>
      <c r="AC37" s="183">
        <v>1.1729973264331213E-2</v>
      </c>
      <c r="AD37" s="183">
        <v>5.0617789324362557E-4</v>
      </c>
      <c r="AE37" s="182"/>
      <c r="AF37" s="183">
        <v>1.1729973264331213E-2</v>
      </c>
      <c r="AG37" s="183">
        <v>5.0617789324362557E-4</v>
      </c>
      <c r="AH37" s="183">
        <v>0</v>
      </c>
      <c r="AI37" s="183">
        <v>1.4052443193385081E-8</v>
      </c>
      <c r="AJ37" s="22"/>
    </row>
    <row r="38" spans="1:36" x14ac:dyDescent="0.3">
      <c r="A38" s="78">
        <v>3</v>
      </c>
      <c r="B38" s="78">
        <v>3</v>
      </c>
      <c r="C38" s="78">
        <v>2</v>
      </c>
      <c r="D38" s="78">
        <v>3</v>
      </c>
      <c r="E38" s="78">
        <v>3</v>
      </c>
      <c r="F38" s="78">
        <v>3</v>
      </c>
      <c r="G38" s="78">
        <v>2</v>
      </c>
      <c r="H38" s="78">
        <v>3</v>
      </c>
      <c r="I38" s="78">
        <v>3</v>
      </c>
      <c r="J38" s="78">
        <v>2</v>
      </c>
      <c r="K38" s="78">
        <v>3</v>
      </c>
      <c r="L38" s="78">
        <v>3</v>
      </c>
      <c r="M38" s="78">
        <v>2</v>
      </c>
      <c r="N38" s="78">
        <v>3</v>
      </c>
      <c r="O38" s="78">
        <v>3</v>
      </c>
      <c r="P38" s="171">
        <f t="shared" si="0"/>
        <v>41</v>
      </c>
      <c r="Q38" s="18"/>
      <c r="R38" s="236"/>
      <c r="S38" s="179" t="s">
        <v>44</v>
      </c>
      <c r="T38" s="180">
        <v>50</v>
      </c>
      <c r="U38" s="180">
        <v>50</v>
      </c>
      <c r="V38" s="180">
        <v>50</v>
      </c>
      <c r="W38" s="180">
        <v>50</v>
      </c>
      <c r="X38" s="180">
        <v>50</v>
      </c>
      <c r="Y38" s="180">
        <v>50</v>
      </c>
      <c r="Z38" s="180">
        <v>50</v>
      </c>
      <c r="AA38" s="180">
        <v>50</v>
      </c>
      <c r="AB38" s="180">
        <v>50</v>
      </c>
      <c r="AC38" s="180">
        <v>50</v>
      </c>
      <c r="AD38" s="180">
        <v>50</v>
      </c>
      <c r="AE38" s="180">
        <v>50</v>
      </c>
      <c r="AF38" s="180">
        <v>50</v>
      </c>
      <c r="AG38" s="180">
        <v>50</v>
      </c>
      <c r="AH38" s="180">
        <v>50</v>
      </c>
      <c r="AI38" s="180">
        <v>50</v>
      </c>
      <c r="AJ38" s="22"/>
    </row>
    <row r="39" spans="1:36" ht="24" x14ac:dyDescent="0.3">
      <c r="A39" s="78">
        <v>4</v>
      </c>
      <c r="B39" s="78">
        <v>3</v>
      </c>
      <c r="C39" s="78">
        <v>4</v>
      </c>
      <c r="D39" s="78">
        <v>3</v>
      </c>
      <c r="E39" s="78">
        <v>4</v>
      </c>
      <c r="F39" s="78">
        <v>4</v>
      </c>
      <c r="G39" s="78">
        <v>3</v>
      </c>
      <c r="H39" s="78">
        <v>3</v>
      </c>
      <c r="I39" s="78">
        <v>4</v>
      </c>
      <c r="J39" s="78">
        <v>4</v>
      </c>
      <c r="K39" s="78">
        <v>4</v>
      </c>
      <c r="L39" s="78">
        <v>4</v>
      </c>
      <c r="M39" s="78">
        <v>4</v>
      </c>
      <c r="N39" s="78">
        <v>4</v>
      </c>
      <c r="O39" s="78">
        <v>4</v>
      </c>
      <c r="P39" s="171">
        <f t="shared" si="0"/>
        <v>56</v>
      </c>
      <c r="Q39" s="19"/>
      <c r="R39" s="236" t="s">
        <v>153</v>
      </c>
      <c r="S39" s="179" t="s">
        <v>42</v>
      </c>
      <c r="T39" s="181" t="s">
        <v>432</v>
      </c>
      <c r="U39" s="181" t="s">
        <v>443</v>
      </c>
      <c r="V39" s="181" t="s">
        <v>452</v>
      </c>
      <c r="W39" s="181" t="s">
        <v>461</v>
      </c>
      <c r="X39" s="181" t="s">
        <v>469</v>
      </c>
      <c r="Y39" s="181" t="s">
        <v>473</v>
      </c>
      <c r="Z39" s="181" t="s">
        <v>479</v>
      </c>
      <c r="AA39" s="181" t="s">
        <v>481</v>
      </c>
      <c r="AB39" s="181" t="s">
        <v>485</v>
      </c>
      <c r="AC39" s="181" t="s">
        <v>491</v>
      </c>
      <c r="AD39" s="181" t="s">
        <v>489</v>
      </c>
      <c r="AE39" s="181" t="s">
        <v>490</v>
      </c>
      <c r="AF39" s="180">
        <v>1</v>
      </c>
      <c r="AG39" s="181" t="s">
        <v>489</v>
      </c>
      <c r="AH39" s="181" t="s">
        <v>490</v>
      </c>
      <c r="AI39" s="181" t="s">
        <v>492</v>
      </c>
      <c r="AJ39" s="22"/>
    </row>
    <row r="40" spans="1:36" ht="24" x14ac:dyDescent="0.3">
      <c r="A40" s="78">
        <v>3</v>
      </c>
      <c r="B40" s="78">
        <v>3</v>
      </c>
      <c r="C40" s="78">
        <v>3</v>
      </c>
      <c r="D40" s="78">
        <v>2</v>
      </c>
      <c r="E40" s="78">
        <v>3</v>
      </c>
      <c r="F40" s="78">
        <v>2</v>
      </c>
      <c r="G40" s="78">
        <v>2</v>
      </c>
      <c r="H40" s="78">
        <v>2</v>
      </c>
      <c r="I40" s="78">
        <v>2</v>
      </c>
      <c r="J40" s="78">
        <v>3</v>
      </c>
      <c r="K40" s="78">
        <v>2</v>
      </c>
      <c r="L40" s="78">
        <v>3</v>
      </c>
      <c r="M40" s="78">
        <v>3</v>
      </c>
      <c r="N40" s="78">
        <v>2</v>
      </c>
      <c r="O40" s="78">
        <v>3</v>
      </c>
      <c r="P40" s="171">
        <f t="shared" si="0"/>
        <v>38</v>
      </c>
      <c r="Q40" s="21"/>
      <c r="R40" s="236"/>
      <c r="S40" s="179" t="s">
        <v>43</v>
      </c>
      <c r="T40" s="183">
        <v>2.7043225436003156E-5</v>
      </c>
      <c r="U40" s="183">
        <v>8.2659836805649495E-5</v>
      </c>
      <c r="V40" s="183">
        <v>4.905944801356281E-4</v>
      </c>
      <c r="W40" s="183">
        <v>4.9748112920623785E-5</v>
      </c>
      <c r="X40" s="183">
        <v>7.4114466598423978E-6</v>
      </c>
      <c r="Y40" s="183">
        <v>5.7077573943031823E-4</v>
      </c>
      <c r="Z40" s="183">
        <v>3.8707248968117749E-3</v>
      </c>
      <c r="AA40" s="183">
        <v>1.9575143470520382E-3</v>
      </c>
      <c r="AB40" s="183">
        <v>5.4939693328754642E-5</v>
      </c>
      <c r="AC40" s="183">
        <v>0</v>
      </c>
      <c r="AD40" s="183">
        <v>9.8162363671460513E-4</v>
      </c>
      <c r="AE40" s="183">
        <v>1.1729973264331213E-2</v>
      </c>
      <c r="AF40" s="182"/>
      <c r="AG40" s="183">
        <v>9.8162363671460513E-4</v>
      </c>
      <c r="AH40" s="183">
        <v>1.1729973264331213E-2</v>
      </c>
      <c r="AI40" s="183">
        <v>4.2796617465535503E-10</v>
      </c>
      <c r="AJ40" s="22"/>
    </row>
    <row r="41" spans="1:36" x14ac:dyDescent="0.3">
      <c r="A41" s="78">
        <v>3</v>
      </c>
      <c r="B41" s="78">
        <v>3</v>
      </c>
      <c r="C41" s="78">
        <v>3</v>
      </c>
      <c r="D41" s="78">
        <v>3</v>
      </c>
      <c r="E41" s="78">
        <v>3</v>
      </c>
      <c r="F41" s="78">
        <v>2</v>
      </c>
      <c r="G41" s="78">
        <v>4</v>
      </c>
      <c r="H41" s="78">
        <v>3</v>
      </c>
      <c r="I41" s="78">
        <v>3</v>
      </c>
      <c r="J41" s="78">
        <v>2</v>
      </c>
      <c r="K41" s="78">
        <v>3</v>
      </c>
      <c r="L41" s="78">
        <v>4</v>
      </c>
      <c r="M41" s="78">
        <v>2</v>
      </c>
      <c r="N41" s="78">
        <v>3</v>
      </c>
      <c r="O41" s="78">
        <v>4</v>
      </c>
      <c r="P41" s="171">
        <f t="shared" si="0"/>
        <v>45</v>
      </c>
      <c r="Q41" s="18"/>
      <c r="R41" s="236"/>
      <c r="S41" s="179" t="s">
        <v>44</v>
      </c>
      <c r="T41" s="180">
        <v>50</v>
      </c>
      <c r="U41" s="180">
        <v>50</v>
      </c>
      <c r="V41" s="180">
        <v>50</v>
      </c>
      <c r="W41" s="180">
        <v>50</v>
      </c>
      <c r="X41" s="180">
        <v>50</v>
      </c>
      <c r="Y41" s="180">
        <v>50</v>
      </c>
      <c r="Z41" s="180">
        <v>50</v>
      </c>
      <c r="AA41" s="180">
        <v>50</v>
      </c>
      <c r="AB41" s="180">
        <v>50</v>
      </c>
      <c r="AC41" s="180">
        <v>50</v>
      </c>
      <c r="AD41" s="180">
        <v>50</v>
      </c>
      <c r="AE41" s="180">
        <v>50</v>
      </c>
      <c r="AF41" s="180">
        <v>50</v>
      </c>
      <c r="AG41" s="180">
        <v>50</v>
      </c>
      <c r="AH41" s="180">
        <v>50</v>
      </c>
      <c r="AI41" s="180">
        <v>50</v>
      </c>
      <c r="AJ41" s="22"/>
    </row>
    <row r="42" spans="1:36" ht="24" x14ac:dyDescent="0.3">
      <c r="A42" s="78">
        <v>3</v>
      </c>
      <c r="B42" s="78">
        <v>4</v>
      </c>
      <c r="C42" s="78">
        <v>3</v>
      </c>
      <c r="D42" s="78">
        <v>3</v>
      </c>
      <c r="E42" s="78">
        <v>3</v>
      </c>
      <c r="F42" s="78">
        <v>4</v>
      </c>
      <c r="G42" s="78">
        <v>4</v>
      </c>
      <c r="H42" s="78">
        <v>3</v>
      </c>
      <c r="I42" s="78">
        <v>3</v>
      </c>
      <c r="J42" s="78">
        <v>3</v>
      </c>
      <c r="K42" s="78">
        <v>4</v>
      </c>
      <c r="L42" s="78">
        <v>4</v>
      </c>
      <c r="M42" s="78">
        <v>3</v>
      </c>
      <c r="N42" s="78">
        <v>4</v>
      </c>
      <c r="O42" s="78">
        <v>4</v>
      </c>
      <c r="P42" s="171">
        <f t="shared" si="0"/>
        <v>52</v>
      </c>
      <c r="Q42" s="15"/>
      <c r="R42" s="236" t="s">
        <v>154</v>
      </c>
      <c r="S42" s="179" t="s">
        <v>42</v>
      </c>
      <c r="T42" s="181" t="s">
        <v>433</v>
      </c>
      <c r="U42" s="181" t="s">
        <v>444</v>
      </c>
      <c r="V42" s="181" t="s">
        <v>453</v>
      </c>
      <c r="W42" s="181" t="s">
        <v>462</v>
      </c>
      <c r="X42" s="181" t="s">
        <v>470</v>
      </c>
      <c r="Y42" s="181" t="s">
        <v>474</v>
      </c>
      <c r="Z42" s="181" t="s">
        <v>462</v>
      </c>
      <c r="AA42" s="181" t="s">
        <v>482</v>
      </c>
      <c r="AB42" s="181" t="s">
        <v>486</v>
      </c>
      <c r="AC42" s="181" t="s">
        <v>489</v>
      </c>
      <c r="AD42" s="181" t="s">
        <v>491</v>
      </c>
      <c r="AE42" s="181" t="s">
        <v>462</v>
      </c>
      <c r="AF42" s="181" t="s">
        <v>489</v>
      </c>
      <c r="AG42" s="180">
        <v>1</v>
      </c>
      <c r="AH42" s="181" t="s">
        <v>462</v>
      </c>
      <c r="AI42" s="181" t="s">
        <v>493</v>
      </c>
      <c r="AJ42" s="22"/>
    </row>
    <row r="43" spans="1:36" ht="24" x14ac:dyDescent="0.3">
      <c r="A43" s="78">
        <v>4</v>
      </c>
      <c r="B43" s="78">
        <v>4</v>
      </c>
      <c r="C43" s="78">
        <v>4</v>
      </c>
      <c r="D43" s="78">
        <v>4</v>
      </c>
      <c r="E43" s="78">
        <v>4</v>
      </c>
      <c r="F43" s="78">
        <v>4</v>
      </c>
      <c r="G43" s="78">
        <v>4</v>
      </c>
      <c r="H43" s="78">
        <v>4</v>
      </c>
      <c r="I43" s="78">
        <v>4</v>
      </c>
      <c r="J43" s="78">
        <v>4</v>
      </c>
      <c r="K43" s="78">
        <v>4</v>
      </c>
      <c r="L43" s="78">
        <v>3</v>
      </c>
      <c r="M43" s="78">
        <v>4</v>
      </c>
      <c r="N43" s="78">
        <v>4</v>
      </c>
      <c r="O43" s="78">
        <v>3</v>
      </c>
      <c r="P43" s="171">
        <f t="shared" si="0"/>
        <v>58</v>
      </c>
      <c r="Q43" s="15"/>
      <c r="R43" s="236"/>
      <c r="S43" s="179" t="s">
        <v>43</v>
      </c>
      <c r="T43" s="183">
        <v>2.0570887078700892E-6</v>
      </c>
      <c r="U43" s="183">
        <v>7.6055124591566071E-4</v>
      </c>
      <c r="V43" s="183">
        <v>2.2555681098401178E-3</v>
      </c>
      <c r="W43" s="183">
        <v>5.0321290435732281E-4</v>
      </c>
      <c r="X43" s="183">
        <v>1.5209938717589347E-4</v>
      </c>
      <c r="Y43" s="183">
        <v>2.9441025677430965E-3</v>
      </c>
      <c r="Z43" s="183">
        <v>5.0126878912464369E-4</v>
      </c>
      <c r="AA43" s="183">
        <v>4.401755459385475E-5</v>
      </c>
      <c r="AB43" s="183">
        <v>1.0669258554608945E-4</v>
      </c>
      <c r="AC43" s="183">
        <v>9.8162363671460513E-4</v>
      </c>
      <c r="AD43" s="183">
        <v>0</v>
      </c>
      <c r="AE43" s="183">
        <v>5.0617789324362557E-4</v>
      </c>
      <c r="AF43" s="183">
        <v>9.8162363671460513E-4</v>
      </c>
      <c r="AG43" s="182"/>
      <c r="AH43" s="183">
        <v>5.0617789324362557E-4</v>
      </c>
      <c r="AI43" s="183">
        <v>9.547698754650903E-11</v>
      </c>
      <c r="AJ43" s="22"/>
    </row>
    <row r="44" spans="1:36" x14ac:dyDescent="0.3">
      <c r="A44" s="78">
        <v>4</v>
      </c>
      <c r="B44" s="78">
        <v>4</v>
      </c>
      <c r="C44" s="78">
        <v>3</v>
      </c>
      <c r="D44" s="78">
        <v>4</v>
      </c>
      <c r="E44" s="78">
        <v>4</v>
      </c>
      <c r="F44" s="78">
        <v>4</v>
      </c>
      <c r="G44" s="78">
        <v>4</v>
      </c>
      <c r="H44" s="78">
        <v>3</v>
      </c>
      <c r="I44" s="78">
        <v>3</v>
      </c>
      <c r="J44" s="78">
        <v>4</v>
      </c>
      <c r="K44" s="78">
        <v>4</v>
      </c>
      <c r="L44" s="78">
        <v>3</v>
      </c>
      <c r="M44" s="78">
        <v>4</v>
      </c>
      <c r="N44" s="78">
        <v>4</v>
      </c>
      <c r="O44" s="78">
        <v>3</v>
      </c>
      <c r="P44" s="171">
        <f t="shared" si="0"/>
        <v>55</v>
      </c>
      <c r="R44" s="236"/>
      <c r="S44" s="179" t="s">
        <v>44</v>
      </c>
      <c r="T44" s="180">
        <v>50</v>
      </c>
      <c r="U44" s="180">
        <v>50</v>
      </c>
      <c r="V44" s="180">
        <v>50</v>
      </c>
      <c r="W44" s="180">
        <v>50</v>
      </c>
      <c r="X44" s="180">
        <v>50</v>
      </c>
      <c r="Y44" s="180">
        <v>50</v>
      </c>
      <c r="Z44" s="180">
        <v>50</v>
      </c>
      <c r="AA44" s="180">
        <v>50</v>
      </c>
      <c r="AB44" s="180">
        <v>50</v>
      </c>
      <c r="AC44" s="180">
        <v>50</v>
      </c>
      <c r="AD44" s="180">
        <v>50</v>
      </c>
      <c r="AE44" s="180">
        <v>50</v>
      </c>
      <c r="AF44" s="180">
        <v>50</v>
      </c>
      <c r="AG44" s="180">
        <v>50</v>
      </c>
      <c r="AH44" s="180">
        <v>50</v>
      </c>
      <c r="AI44" s="180">
        <v>50</v>
      </c>
      <c r="AJ44" s="22"/>
    </row>
    <row r="45" spans="1:36" ht="24" x14ac:dyDescent="0.3">
      <c r="A45" s="78">
        <v>4</v>
      </c>
      <c r="B45" s="78">
        <v>4</v>
      </c>
      <c r="C45" s="78">
        <v>3</v>
      </c>
      <c r="D45" s="78">
        <v>4</v>
      </c>
      <c r="E45" s="78">
        <v>3</v>
      </c>
      <c r="F45" s="78">
        <v>3</v>
      </c>
      <c r="G45" s="78">
        <v>4</v>
      </c>
      <c r="H45" s="78">
        <v>4</v>
      </c>
      <c r="I45" s="78">
        <v>4</v>
      </c>
      <c r="J45" s="78">
        <v>3</v>
      </c>
      <c r="K45" s="78">
        <v>3</v>
      </c>
      <c r="L45" s="78">
        <v>3</v>
      </c>
      <c r="M45" s="78">
        <v>3</v>
      </c>
      <c r="N45" s="78">
        <v>3</v>
      </c>
      <c r="O45" s="78">
        <v>3</v>
      </c>
      <c r="P45" s="171">
        <f t="shared" si="0"/>
        <v>51</v>
      </c>
      <c r="R45" s="236" t="s">
        <v>155</v>
      </c>
      <c r="S45" s="179" t="s">
        <v>42</v>
      </c>
      <c r="T45" s="181" t="s">
        <v>434</v>
      </c>
      <c r="U45" s="181" t="s">
        <v>445</v>
      </c>
      <c r="V45" s="181" t="s">
        <v>454</v>
      </c>
      <c r="W45" s="181" t="s">
        <v>463</v>
      </c>
      <c r="X45" s="181" t="s">
        <v>471</v>
      </c>
      <c r="Y45" s="181" t="s">
        <v>475</v>
      </c>
      <c r="Z45" s="181" t="s">
        <v>463</v>
      </c>
      <c r="AA45" s="181" t="s">
        <v>483</v>
      </c>
      <c r="AB45" s="181" t="s">
        <v>487</v>
      </c>
      <c r="AC45" s="181" t="s">
        <v>490</v>
      </c>
      <c r="AD45" s="181" t="s">
        <v>462</v>
      </c>
      <c r="AE45" s="181" t="s">
        <v>491</v>
      </c>
      <c r="AF45" s="181" t="s">
        <v>490</v>
      </c>
      <c r="AG45" s="181" t="s">
        <v>462</v>
      </c>
      <c r="AH45" s="180">
        <v>1</v>
      </c>
      <c r="AI45" s="181" t="s">
        <v>494</v>
      </c>
      <c r="AJ45" s="22"/>
    </row>
    <row r="46" spans="1:36" ht="24" x14ac:dyDescent="0.3">
      <c r="A46" s="78">
        <v>3</v>
      </c>
      <c r="B46" s="78">
        <v>4</v>
      </c>
      <c r="C46" s="78">
        <v>4</v>
      </c>
      <c r="D46" s="78">
        <v>3</v>
      </c>
      <c r="E46" s="78">
        <v>4</v>
      </c>
      <c r="F46" s="78">
        <v>3</v>
      </c>
      <c r="G46" s="78">
        <v>3</v>
      </c>
      <c r="H46" s="78">
        <v>4</v>
      </c>
      <c r="I46" s="78">
        <v>4</v>
      </c>
      <c r="J46" s="78">
        <v>3</v>
      </c>
      <c r="K46" s="78">
        <v>4</v>
      </c>
      <c r="L46" s="78">
        <v>3</v>
      </c>
      <c r="M46" s="78">
        <v>3</v>
      </c>
      <c r="N46" s="78">
        <v>4</v>
      </c>
      <c r="O46" s="78">
        <v>3</v>
      </c>
      <c r="P46" s="171">
        <f t="shared" si="0"/>
        <v>52</v>
      </c>
      <c r="R46" s="236"/>
      <c r="S46" s="179" t="s">
        <v>43</v>
      </c>
      <c r="T46" s="183">
        <v>2.6567455798416157E-4</v>
      </c>
      <c r="U46" s="183">
        <v>2.1393605838518543E-5</v>
      </c>
      <c r="V46" s="183">
        <v>7.8413400052797157E-4</v>
      </c>
      <c r="W46" s="183">
        <v>2.9039616294427853E-3</v>
      </c>
      <c r="X46" s="183">
        <v>1.3584344873304403E-3</v>
      </c>
      <c r="Y46" s="183">
        <v>3.6773230436907803E-3</v>
      </c>
      <c r="Z46" s="183">
        <v>2.902589616550693E-3</v>
      </c>
      <c r="AA46" s="183">
        <v>7.4498526161393132E-5</v>
      </c>
      <c r="AB46" s="183">
        <v>3.1890211347467633E-2</v>
      </c>
      <c r="AC46" s="183">
        <v>1.1729973264331213E-2</v>
      </c>
      <c r="AD46" s="183">
        <v>5.0617789324362557E-4</v>
      </c>
      <c r="AE46" s="183">
        <v>0</v>
      </c>
      <c r="AF46" s="183">
        <v>1.1729973264331213E-2</v>
      </c>
      <c r="AG46" s="183">
        <v>5.0617789324362557E-4</v>
      </c>
      <c r="AH46" s="182"/>
      <c r="AI46" s="183">
        <v>1.4052443193385081E-8</v>
      </c>
      <c r="AJ46" s="22"/>
    </row>
    <row r="47" spans="1:36" x14ac:dyDescent="0.3">
      <c r="A47" s="78">
        <v>3</v>
      </c>
      <c r="B47" s="78">
        <v>2</v>
      </c>
      <c r="C47" s="78">
        <v>3</v>
      </c>
      <c r="D47" s="78">
        <v>3</v>
      </c>
      <c r="E47" s="78">
        <v>3</v>
      </c>
      <c r="F47" s="78">
        <v>2</v>
      </c>
      <c r="G47" s="78">
        <v>3</v>
      </c>
      <c r="H47" s="78">
        <v>2</v>
      </c>
      <c r="I47" s="78">
        <v>3</v>
      </c>
      <c r="J47" s="78">
        <v>3</v>
      </c>
      <c r="K47" s="78">
        <v>3</v>
      </c>
      <c r="L47" s="78">
        <v>3</v>
      </c>
      <c r="M47" s="78">
        <v>3</v>
      </c>
      <c r="N47" s="78">
        <v>3</v>
      </c>
      <c r="O47" s="78">
        <v>3</v>
      </c>
      <c r="P47" s="171">
        <f t="shared" si="0"/>
        <v>42</v>
      </c>
      <c r="R47" s="236"/>
      <c r="S47" s="179" t="s">
        <v>44</v>
      </c>
      <c r="T47" s="180">
        <v>50</v>
      </c>
      <c r="U47" s="180">
        <v>50</v>
      </c>
      <c r="V47" s="180">
        <v>50</v>
      </c>
      <c r="W47" s="180">
        <v>50</v>
      </c>
      <c r="X47" s="180">
        <v>50</v>
      </c>
      <c r="Y47" s="180">
        <v>50</v>
      </c>
      <c r="Z47" s="180">
        <v>50</v>
      </c>
      <c r="AA47" s="180">
        <v>50</v>
      </c>
      <c r="AB47" s="180">
        <v>50</v>
      </c>
      <c r="AC47" s="180">
        <v>50</v>
      </c>
      <c r="AD47" s="180">
        <v>50</v>
      </c>
      <c r="AE47" s="180">
        <v>50</v>
      </c>
      <c r="AF47" s="180">
        <v>50</v>
      </c>
      <c r="AG47" s="180">
        <v>50</v>
      </c>
      <c r="AH47" s="180">
        <v>50</v>
      </c>
      <c r="AI47" s="180">
        <v>50</v>
      </c>
      <c r="AJ47" s="22"/>
    </row>
    <row r="48" spans="1:36" ht="24" x14ac:dyDescent="0.3">
      <c r="A48" s="78">
        <v>3</v>
      </c>
      <c r="B48" s="78">
        <v>3</v>
      </c>
      <c r="C48" s="78">
        <v>3</v>
      </c>
      <c r="D48" s="78">
        <v>3</v>
      </c>
      <c r="E48" s="78">
        <v>3</v>
      </c>
      <c r="F48" s="78">
        <v>4</v>
      </c>
      <c r="G48" s="78">
        <v>3</v>
      </c>
      <c r="H48" s="78">
        <v>3</v>
      </c>
      <c r="I48" s="78">
        <v>3</v>
      </c>
      <c r="J48" s="78">
        <v>3</v>
      </c>
      <c r="K48" s="78">
        <v>3</v>
      </c>
      <c r="L48" s="78">
        <v>3</v>
      </c>
      <c r="M48" s="78">
        <v>3</v>
      </c>
      <c r="N48" s="78">
        <v>3</v>
      </c>
      <c r="O48" s="78">
        <v>3</v>
      </c>
      <c r="P48" s="171">
        <f t="shared" si="0"/>
        <v>46</v>
      </c>
      <c r="R48" s="236" t="s">
        <v>41</v>
      </c>
      <c r="S48" s="179" t="s">
        <v>42</v>
      </c>
      <c r="T48" s="181" t="s">
        <v>435</v>
      </c>
      <c r="U48" s="181" t="s">
        <v>446</v>
      </c>
      <c r="V48" s="181" t="s">
        <v>455</v>
      </c>
      <c r="W48" s="181" t="s">
        <v>464</v>
      </c>
      <c r="X48" s="181" t="s">
        <v>472</v>
      </c>
      <c r="Y48" s="181" t="s">
        <v>476</v>
      </c>
      <c r="Z48" s="181" t="s">
        <v>480</v>
      </c>
      <c r="AA48" s="181" t="s">
        <v>484</v>
      </c>
      <c r="AB48" s="181" t="s">
        <v>488</v>
      </c>
      <c r="AC48" s="181" t="s">
        <v>492</v>
      </c>
      <c r="AD48" s="181" t="s">
        <v>493</v>
      </c>
      <c r="AE48" s="181" t="s">
        <v>494</v>
      </c>
      <c r="AF48" s="181" t="s">
        <v>492</v>
      </c>
      <c r="AG48" s="181" t="s">
        <v>493</v>
      </c>
      <c r="AH48" s="181" t="s">
        <v>494</v>
      </c>
      <c r="AI48" s="180">
        <v>1</v>
      </c>
      <c r="AJ48" s="22"/>
    </row>
    <row r="49" spans="1:36" ht="24" x14ac:dyDescent="0.3">
      <c r="A49" s="78">
        <v>3</v>
      </c>
      <c r="B49" s="78">
        <v>3</v>
      </c>
      <c r="C49" s="78">
        <v>4</v>
      </c>
      <c r="D49" s="78">
        <v>3</v>
      </c>
      <c r="E49" s="78">
        <v>3</v>
      </c>
      <c r="F49" s="78">
        <v>4</v>
      </c>
      <c r="G49" s="78">
        <v>3</v>
      </c>
      <c r="H49" s="78">
        <v>4</v>
      </c>
      <c r="I49" s="78">
        <v>3</v>
      </c>
      <c r="J49" s="78">
        <v>2</v>
      </c>
      <c r="K49" s="78">
        <v>4</v>
      </c>
      <c r="L49" s="78">
        <v>3</v>
      </c>
      <c r="M49" s="78">
        <v>2</v>
      </c>
      <c r="N49" s="78">
        <v>4</v>
      </c>
      <c r="O49" s="78">
        <v>3</v>
      </c>
      <c r="P49" s="171">
        <f t="shared" si="0"/>
        <v>48</v>
      </c>
      <c r="R49" s="236"/>
      <c r="S49" s="179" t="s">
        <v>43</v>
      </c>
      <c r="T49" s="183">
        <v>1.3561717735271275E-10</v>
      </c>
      <c r="U49" s="183">
        <v>1.6250502652046448E-11</v>
      </c>
      <c r="V49" s="183">
        <v>1.1869532900308146E-8</v>
      </c>
      <c r="W49" s="183">
        <v>2.832271979931832E-9</v>
      </c>
      <c r="X49" s="183">
        <v>7.1734075766635051E-10</v>
      </c>
      <c r="Y49" s="183">
        <v>2.2883860168594137E-7</v>
      </c>
      <c r="Z49" s="183">
        <v>1.1685208587110692E-7</v>
      </c>
      <c r="AA49" s="183">
        <v>6.4465412017563784E-10</v>
      </c>
      <c r="AB49" s="183">
        <v>8.4848741116905695E-8</v>
      </c>
      <c r="AC49" s="183">
        <v>4.2796617465535503E-10</v>
      </c>
      <c r="AD49" s="183">
        <v>9.547698754650903E-11</v>
      </c>
      <c r="AE49" s="183">
        <v>1.4052443193385081E-8</v>
      </c>
      <c r="AF49" s="183">
        <v>4.2796617465535503E-10</v>
      </c>
      <c r="AG49" s="183">
        <v>9.547698754650903E-11</v>
      </c>
      <c r="AH49" s="183">
        <v>1.4052443193385081E-8</v>
      </c>
      <c r="AI49" s="182"/>
      <c r="AJ49" s="22"/>
    </row>
    <row r="50" spans="1:36" x14ac:dyDescent="0.3">
      <c r="A50" s="78">
        <v>4</v>
      </c>
      <c r="B50" s="78">
        <v>4</v>
      </c>
      <c r="C50" s="78">
        <v>4</v>
      </c>
      <c r="D50" s="78">
        <v>4</v>
      </c>
      <c r="E50" s="78">
        <v>5</v>
      </c>
      <c r="F50" s="78">
        <v>4</v>
      </c>
      <c r="G50" s="78">
        <v>4</v>
      </c>
      <c r="H50" s="78">
        <v>4</v>
      </c>
      <c r="I50" s="78">
        <v>4</v>
      </c>
      <c r="J50" s="78">
        <v>4</v>
      </c>
      <c r="K50" s="78">
        <v>4</v>
      </c>
      <c r="L50" s="78">
        <v>4</v>
      </c>
      <c r="M50" s="78">
        <v>4</v>
      </c>
      <c r="N50" s="78">
        <v>4</v>
      </c>
      <c r="O50" s="78">
        <v>4</v>
      </c>
      <c r="P50" s="171">
        <f t="shared" si="0"/>
        <v>61</v>
      </c>
      <c r="R50" s="236"/>
      <c r="S50" s="179" t="s">
        <v>44</v>
      </c>
      <c r="T50" s="180">
        <v>50</v>
      </c>
      <c r="U50" s="180">
        <v>50</v>
      </c>
      <c r="V50" s="180">
        <v>50</v>
      </c>
      <c r="W50" s="180">
        <v>50</v>
      </c>
      <c r="X50" s="180">
        <v>50</v>
      </c>
      <c r="Y50" s="180">
        <v>50</v>
      </c>
      <c r="Z50" s="180">
        <v>50</v>
      </c>
      <c r="AA50" s="180">
        <v>50</v>
      </c>
      <c r="AB50" s="180">
        <v>50</v>
      </c>
      <c r="AC50" s="180">
        <v>50</v>
      </c>
      <c r="AD50" s="180">
        <v>50</v>
      </c>
      <c r="AE50" s="180">
        <v>50</v>
      </c>
      <c r="AF50" s="180">
        <v>50</v>
      </c>
      <c r="AG50" s="180">
        <v>50</v>
      </c>
      <c r="AH50" s="180">
        <v>50</v>
      </c>
      <c r="AI50" s="180">
        <v>50</v>
      </c>
      <c r="AJ50" s="22"/>
    </row>
    <row r="51" spans="1:36" x14ac:dyDescent="0.3">
      <c r="A51" s="78">
        <v>4</v>
      </c>
      <c r="B51" s="78">
        <v>4</v>
      </c>
      <c r="C51" s="78">
        <v>4</v>
      </c>
      <c r="D51" s="78">
        <v>3</v>
      </c>
      <c r="E51" s="78">
        <v>4</v>
      </c>
      <c r="F51" s="78">
        <v>4</v>
      </c>
      <c r="G51" s="78">
        <v>3</v>
      </c>
      <c r="H51" s="78">
        <v>4</v>
      </c>
      <c r="I51" s="78">
        <v>4</v>
      </c>
      <c r="J51" s="78">
        <v>4</v>
      </c>
      <c r="K51" s="78">
        <v>4</v>
      </c>
      <c r="L51" s="78">
        <v>4</v>
      </c>
      <c r="M51" s="78">
        <v>4</v>
      </c>
      <c r="N51" s="78">
        <v>4</v>
      </c>
      <c r="O51" s="78">
        <v>4</v>
      </c>
      <c r="P51" s="171">
        <f t="shared" si="0"/>
        <v>58</v>
      </c>
      <c r="R51" s="239" t="s">
        <v>45</v>
      </c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2"/>
    </row>
    <row r="52" spans="1:36" x14ac:dyDescent="0.3">
      <c r="A52" s="78">
        <v>2</v>
      </c>
      <c r="B52" s="78">
        <v>3</v>
      </c>
      <c r="C52" s="78">
        <v>3</v>
      </c>
      <c r="D52" s="78">
        <v>3</v>
      </c>
      <c r="E52" s="78">
        <v>3</v>
      </c>
      <c r="F52" s="78">
        <v>2</v>
      </c>
      <c r="G52" s="78">
        <v>2</v>
      </c>
      <c r="H52" s="78">
        <v>2</v>
      </c>
      <c r="I52" s="78">
        <v>3</v>
      </c>
      <c r="J52" s="78">
        <v>3</v>
      </c>
      <c r="K52" s="78">
        <v>3</v>
      </c>
      <c r="L52" s="78">
        <v>2</v>
      </c>
      <c r="M52" s="78">
        <v>3</v>
      </c>
      <c r="N52" s="78">
        <v>3</v>
      </c>
      <c r="O52" s="78">
        <v>2</v>
      </c>
      <c r="P52" s="171">
        <f t="shared" si="0"/>
        <v>39</v>
      </c>
      <c r="R52" s="239" t="s">
        <v>46</v>
      </c>
      <c r="S52" s="239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2"/>
    </row>
  </sheetData>
  <mergeCells count="32">
    <mergeCell ref="R51:AI51"/>
    <mergeCell ref="R52:AI52"/>
    <mergeCell ref="AQ4:AT4"/>
    <mergeCell ref="AQ5:AR5"/>
    <mergeCell ref="AQ6:AQ8"/>
    <mergeCell ref="AQ9:AT9"/>
    <mergeCell ref="AR11:AS11"/>
    <mergeCell ref="R6:R8"/>
    <mergeCell ref="R9:R11"/>
    <mergeCell ref="R42:R44"/>
    <mergeCell ref="R45:R47"/>
    <mergeCell ref="R48:R50"/>
    <mergeCell ref="R12:R14"/>
    <mergeCell ref="R15:R17"/>
    <mergeCell ref="R18:R20"/>
    <mergeCell ref="R21:R23"/>
    <mergeCell ref="R24:R26"/>
    <mergeCell ref="R27:R29"/>
    <mergeCell ref="R30:R32"/>
    <mergeCell ref="R33:R35"/>
    <mergeCell ref="R36:R38"/>
    <mergeCell ref="R39:R41"/>
    <mergeCell ref="A1:P1"/>
    <mergeCell ref="AL2:AL3"/>
    <mergeCell ref="AM2:AM3"/>
    <mergeCell ref="AN2:AN3"/>
    <mergeCell ref="AO2:AO3"/>
    <mergeCell ref="AK1:AO1"/>
    <mergeCell ref="AK2:AK3"/>
    <mergeCell ref="R1:AI1"/>
    <mergeCell ref="R2:S2"/>
    <mergeCell ref="R3:R5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B62D-D442-4A26-98D5-1B62263F2AB8}">
  <dimension ref="A1:AH88"/>
  <sheetViews>
    <sheetView topLeftCell="A65" workbookViewId="0">
      <selection activeCell="J38" sqref="J38:J88"/>
    </sheetView>
  </sheetViews>
  <sheetFormatPr defaultRowHeight="14.4" x14ac:dyDescent="0.3"/>
  <cols>
    <col min="1" max="1" width="4.77734375" customWidth="1"/>
    <col min="2" max="2" width="5" customWidth="1"/>
    <col min="3" max="8" width="4.77734375" customWidth="1"/>
    <col min="9" max="9" width="4.6640625" customWidth="1"/>
    <col min="24" max="24" width="13" customWidth="1"/>
    <col min="25" max="25" width="14.33203125" customWidth="1"/>
    <col min="27" max="27" width="15.33203125" customWidth="1"/>
    <col min="28" max="28" width="12.88671875" customWidth="1"/>
    <col min="32" max="32" width="11" customWidth="1"/>
    <col min="33" max="33" width="12.5546875" customWidth="1"/>
  </cols>
  <sheetData>
    <row r="1" spans="11:34" ht="15.6" x14ac:dyDescent="0.3">
      <c r="K1" s="252" t="s">
        <v>28</v>
      </c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3"/>
      <c r="X1" s="235" t="s">
        <v>117</v>
      </c>
      <c r="Y1" s="249"/>
      <c r="Z1" s="249"/>
      <c r="AA1" s="249"/>
      <c r="AB1" s="249"/>
    </row>
    <row r="2" spans="11:34" ht="19.8" customHeight="1" x14ac:dyDescent="0.3">
      <c r="K2" s="253" t="s">
        <v>27</v>
      </c>
      <c r="L2" s="253"/>
      <c r="M2" s="184" t="s">
        <v>64</v>
      </c>
      <c r="N2" s="184" t="s">
        <v>65</v>
      </c>
      <c r="O2" s="184" t="s">
        <v>66</v>
      </c>
      <c r="P2" s="184" t="s">
        <v>67</v>
      </c>
      <c r="Q2" s="184" t="s">
        <v>68</v>
      </c>
      <c r="R2" s="184" t="s">
        <v>69</v>
      </c>
      <c r="S2" s="184" t="s">
        <v>70</v>
      </c>
      <c r="T2" s="184" t="s">
        <v>71</v>
      </c>
      <c r="U2" s="184" t="s">
        <v>72</v>
      </c>
      <c r="V2" s="184" t="s">
        <v>41</v>
      </c>
      <c r="W2" s="3"/>
      <c r="X2" s="234" t="s">
        <v>47</v>
      </c>
      <c r="Y2" s="233" t="s">
        <v>50</v>
      </c>
      <c r="Z2" s="234" t="s">
        <v>51</v>
      </c>
      <c r="AA2" s="234" t="s">
        <v>52</v>
      </c>
      <c r="AB2" s="234" t="s">
        <v>48</v>
      </c>
    </row>
    <row r="3" spans="11:34" ht="22.8" x14ac:dyDescent="0.3">
      <c r="K3" s="251" t="s">
        <v>64</v>
      </c>
      <c r="L3" s="185" t="s">
        <v>42</v>
      </c>
      <c r="M3" s="186">
        <v>1</v>
      </c>
      <c r="N3" s="187" t="s">
        <v>73</v>
      </c>
      <c r="O3" s="187" t="s">
        <v>74</v>
      </c>
      <c r="P3" s="187" t="s">
        <v>75</v>
      </c>
      <c r="Q3" s="187" t="s">
        <v>76</v>
      </c>
      <c r="R3" s="187" t="s">
        <v>77</v>
      </c>
      <c r="S3" s="187" t="s">
        <v>78</v>
      </c>
      <c r="T3" s="187" t="s">
        <v>76</v>
      </c>
      <c r="U3" s="187" t="s">
        <v>79</v>
      </c>
      <c r="V3" s="187" t="s">
        <v>80</v>
      </c>
      <c r="W3" s="3"/>
      <c r="X3" s="234"/>
      <c r="Y3" s="233"/>
      <c r="Z3" s="234"/>
      <c r="AA3" s="234"/>
      <c r="AB3" s="234"/>
    </row>
    <row r="4" spans="11:34" ht="22.8" x14ac:dyDescent="0.3">
      <c r="K4" s="251"/>
      <c r="L4" s="185" t="s">
        <v>43</v>
      </c>
      <c r="M4" s="188"/>
      <c r="N4" s="189">
        <v>1.3781691730116561E-4</v>
      </c>
      <c r="O4" s="189">
        <v>3.4434384769762666E-4</v>
      </c>
      <c r="P4" s="189">
        <v>9.6742402403785169E-5</v>
      </c>
      <c r="Q4" s="189">
        <v>2.434031153132944E-4</v>
      </c>
      <c r="R4" s="189">
        <v>7.4073000833208111E-4</v>
      </c>
      <c r="S4" s="189">
        <v>5.291277704989768E-4</v>
      </c>
      <c r="T4" s="189">
        <v>2.3844399062678261E-4</v>
      </c>
      <c r="U4" s="189">
        <v>3.5234820322354249E-5</v>
      </c>
      <c r="V4" s="189">
        <v>1.6184282034086291E-10</v>
      </c>
      <c r="W4" s="3"/>
      <c r="X4" s="1" t="s">
        <v>12</v>
      </c>
      <c r="Y4" s="34" t="s">
        <v>168</v>
      </c>
      <c r="Z4" s="2">
        <v>0.36099999999999999</v>
      </c>
      <c r="AA4" s="1">
        <v>0</v>
      </c>
      <c r="AB4" s="1" t="s">
        <v>49</v>
      </c>
      <c r="AD4" s="254" t="s">
        <v>206</v>
      </c>
      <c r="AE4" s="254"/>
      <c r="AF4" s="254"/>
      <c r="AG4" s="254"/>
      <c r="AH4" s="3"/>
    </row>
    <row r="5" spans="11:34" ht="18.600000000000001" customHeight="1" x14ac:dyDescent="0.3">
      <c r="K5" s="251"/>
      <c r="L5" s="185" t="s">
        <v>44</v>
      </c>
      <c r="M5" s="186">
        <v>50</v>
      </c>
      <c r="N5" s="186">
        <v>50</v>
      </c>
      <c r="O5" s="186">
        <v>50</v>
      </c>
      <c r="P5" s="186">
        <v>50</v>
      </c>
      <c r="Q5" s="186">
        <v>50</v>
      </c>
      <c r="R5" s="186">
        <v>50</v>
      </c>
      <c r="S5" s="186">
        <v>50</v>
      </c>
      <c r="T5" s="186">
        <v>50</v>
      </c>
      <c r="U5" s="186">
        <v>50</v>
      </c>
      <c r="V5" s="186">
        <v>50</v>
      </c>
      <c r="W5" s="3"/>
      <c r="X5" s="1" t="s">
        <v>13</v>
      </c>
      <c r="Y5" s="34" t="s">
        <v>62</v>
      </c>
      <c r="Z5" s="2">
        <v>0.36099999999999999</v>
      </c>
      <c r="AA5" s="1">
        <v>0</v>
      </c>
      <c r="AB5" s="1" t="s">
        <v>49</v>
      </c>
      <c r="AD5" s="255" t="s">
        <v>27</v>
      </c>
      <c r="AE5" s="255"/>
      <c r="AF5" s="4" t="s">
        <v>44</v>
      </c>
      <c r="AG5" s="5" t="s">
        <v>207</v>
      </c>
      <c r="AH5" s="3"/>
    </row>
    <row r="6" spans="11:34" ht="22.8" x14ac:dyDescent="0.3">
      <c r="K6" s="251" t="s">
        <v>65</v>
      </c>
      <c r="L6" s="185" t="s">
        <v>42</v>
      </c>
      <c r="M6" s="187" t="s">
        <v>73</v>
      </c>
      <c r="N6" s="186">
        <v>1</v>
      </c>
      <c r="O6" s="187" t="s">
        <v>81</v>
      </c>
      <c r="P6" s="187" t="s">
        <v>82</v>
      </c>
      <c r="Q6" s="187" t="s">
        <v>83</v>
      </c>
      <c r="R6" s="187" t="s">
        <v>84</v>
      </c>
      <c r="S6" s="187" t="s">
        <v>85</v>
      </c>
      <c r="T6" s="187" t="s">
        <v>86</v>
      </c>
      <c r="U6" s="187" t="s">
        <v>87</v>
      </c>
      <c r="V6" s="187" t="s">
        <v>88</v>
      </c>
      <c r="W6" s="3"/>
      <c r="X6" s="1" t="s">
        <v>14</v>
      </c>
      <c r="Y6" s="34" t="s">
        <v>169</v>
      </c>
      <c r="Z6" s="2">
        <v>0.36099999999999999</v>
      </c>
      <c r="AA6" s="1">
        <v>0</v>
      </c>
      <c r="AB6" s="1" t="s">
        <v>49</v>
      </c>
      <c r="AD6" s="256" t="s">
        <v>208</v>
      </c>
      <c r="AE6" s="6" t="s">
        <v>49</v>
      </c>
      <c r="AF6" s="7">
        <v>50</v>
      </c>
      <c r="AG6" s="49">
        <v>100</v>
      </c>
      <c r="AH6" s="3"/>
    </row>
    <row r="7" spans="11:34" ht="22.8" x14ac:dyDescent="0.3">
      <c r="K7" s="251"/>
      <c r="L7" s="185" t="s">
        <v>43</v>
      </c>
      <c r="M7" s="189">
        <v>1.3781691730116561E-4</v>
      </c>
      <c r="N7" s="188"/>
      <c r="O7" s="189">
        <v>1.1621418627716662E-3</v>
      </c>
      <c r="P7" s="189">
        <v>7.9639540592729118E-3</v>
      </c>
      <c r="Q7" s="189">
        <v>1.9095467549953477E-4</v>
      </c>
      <c r="R7" s="189">
        <v>6.2987844357922885E-3</v>
      </c>
      <c r="S7" s="189">
        <v>4.7776251114678542E-5</v>
      </c>
      <c r="T7" s="189">
        <v>1.1546266957473045E-5</v>
      </c>
      <c r="U7" s="189">
        <v>4.3783359490440262E-5</v>
      </c>
      <c r="V7" s="189">
        <v>3.5488659743289434E-10</v>
      </c>
      <c r="W7" s="3"/>
      <c r="X7" s="1" t="s">
        <v>15</v>
      </c>
      <c r="Y7" s="34" t="s">
        <v>170</v>
      </c>
      <c r="Z7" s="2">
        <v>0.36099999999999999</v>
      </c>
      <c r="AA7" s="1">
        <v>0</v>
      </c>
      <c r="AB7" s="1" t="s">
        <v>49</v>
      </c>
      <c r="AD7" s="257"/>
      <c r="AE7" s="8" t="s">
        <v>210</v>
      </c>
      <c r="AF7" s="50">
        <v>0</v>
      </c>
      <c r="AG7" s="51">
        <v>0</v>
      </c>
      <c r="AH7" s="3"/>
    </row>
    <row r="8" spans="11:34" ht="18.600000000000001" customHeight="1" x14ac:dyDescent="0.3">
      <c r="K8" s="251"/>
      <c r="L8" s="185" t="s">
        <v>44</v>
      </c>
      <c r="M8" s="186">
        <v>50</v>
      </c>
      <c r="N8" s="186">
        <v>50</v>
      </c>
      <c r="O8" s="186">
        <v>50</v>
      </c>
      <c r="P8" s="186">
        <v>50</v>
      </c>
      <c r="Q8" s="186">
        <v>50</v>
      </c>
      <c r="R8" s="186">
        <v>50</v>
      </c>
      <c r="S8" s="186">
        <v>50</v>
      </c>
      <c r="T8" s="186">
        <v>50</v>
      </c>
      <c r="U8" s="186">
        <v>50</v>
      </c>
      <c r="V8" s="186">
        <v>50</v>
      </c>
      <c r="W8" s="3"/>
      <c r="X8" s="1" t="s">
        <v>16</v>
      </c>
      <c r="Y8" s="34" t="s">
        <v>171</v>
      </c>
      <c r="Z8" s="2">
        <v>0.36099999999999999</v>
      </c>
      <c r="AA8" s="1">
        <v>0</v>
      </c>
      <c r="AB8" s="1" t="s">
        <v>49</v>
      </c>
      <c r="AD8" s="258"/>
      <c r="AE8" s="9" t="s">
        <v>152</v>
      </c>
      <c r="AF8" s="10">
        <v>50</v>
      </c>
      <c r="AG8" s="52">
        <v>100</v>
      </c>
      <c r="AH8" s="3"/>
    </row>
    <row r="9" spans="11:34" ht="22.8" x14ac:dyDescent="0.3">
      <c r="K9" s="251" t="s">
        <v>66</v>
      </c>
      <c r="L9" s="185" t="s">
        <v>42</v>
      </c>
      <c r="M9" s="187" t="s">
        <v>74</v>
      </c>
      <c r="N9" s="187" t="s">
        <v>81</v>
      </c>
      <c r="O9" s="186">
        <v>1</v>
      </c>
      <c r="P9" s="187" t="s">
        <v>89</v>
      </c>
      <c r="Q9" s="187" t="s">
        <v>90</v>
      </c>
      <c r="R9" s="187" t="s">
        <v>91</v>
      </c>
      <c r="S9" s="187" t="s">
        <v>92</v>
      </c>
      <c r="T9" s="187" t="s">
        <v>93</v>
      </c>
      <c r="U9" s="187" t="s">
        <v>94</v>
      </c>
      <c r="V9" s="187" t="s">
        <v>95</v>
      </c>
      <c r="W9" s="3"/>
      <c r="X9" s="1" t="s">
        <v>17</v>
      </c>
      <c r="Y9" s="34" t="s">
        <v>172</v>
      </c>
      <c r="Z9" s="2">
        <v>0.36099999999999999</v>
      </c>
      <c r="AA9" s="1">
        <v>0</v>
      </c>
      <c r="AB9" s="1" t="s">
        <v>49</v>
      </c>
      <c r="AD9" s="259" t="s">
        <v>209</v>
      </c>
      <c r="AE9" s="259"/>
      <c r="AF9" s="259"/>
      <c r="AG9" s="259"/>
      <c r="AH9" s="3"/>
    </row>
    <row r="10" spans="11:34" ht="22.8" x14ac:dyDescent="0.3">
      <c r="K10" s="251"/>
      <c r="L10" s="185" t="s">
        <v>43</v>
      </c>
      <c r="M10" s="189">
        <v>3.4434384769762666E-4</v>
      </c>
      <c r="N10" s="189">
        <v>1.1621418627716662E-3</v>
      </c>
      <c r="O10" s="188"/>
      <c r="P10" s="189">
        <v>6.5407220063529873E-3</v>
      </c>
      <c r="Q10" s="189">
        <v>1.2777132211476505E-2</v>
      </c>
      <c r="R10" s="189">
        <v>1.8595473440490198E-2</v>
      </c>
      <c r="S10" s="189">
        <v>2.6658861361242197E-3</v>
      </c>
      <c r="T10" s="189">
        <v>1.2169231444902421E-2</v>
      </c>
      <c r="U10" s="189">
        <v>6.5172215396945728E-4</v>
      </c>
      <c r="V10" s="189">
        <v>6.9934599894302816E-7</v>
      </c>
      <c r="W10" s="3"/>
      <c r="X10" s="1" t="s">
        <v>18</v>
      </c>
      <c r="Y10" s="34" t="s">
        <v>173</v>
      </c>
      <c r="Z10" s="2">
        <v>0.36099999999999999</v>
      </c>
      <c r="AA10" s="1">
        <v>0</v>
      </c>
      <c r="AB10" s="1" t="s">
        <v>49</v>
      </c>
    </row>
    <row r="11" spans="11:34" ht="15.6" x14ac:dyDescent="0.3">
      <c r="K11" s="251"/>
      <c r="L11" s="185" t="s">
        <v>44</v>
      </c>
      <c r="M11" s="186">
        <v>50</v>
      </c>
      <c r="N11" s="186">
        <v>50</v>
      </c>
      <c r="O11" s="186">
        <v>50</v>
      </c>
      <c r="P11" s="186">
        <v>50</v>
      </c>
      <c r="Q11" s="186">
        <v>50</v>
      </c>
      <c r="R11" s="186">
        <v>50</v>
      </c>
      <c r="S11" s="186">
        <v>50</v>
      </c>
      <c r="T11" s="186">
        <v>50</v>
      </c>
      <c r="U11" s="186">
        <v>50</v>
      </c>
      <c r="V11" s="186">
        <v>50</v>
      </c>
      <c r="W11" s="3"/>
      <c r="X11" s="1" t="s">
        <v>19</v>
      </c>
      <c r="Y11" s="34" t="s">
        <v>174</v>
      </c>
      <c r="Z11" s="2">
        <v>0.36099999999999999</v>
      </c>
      <c r="AA11" s="1">
        <v>0</v>
      </c>
      <c r="AB11" s="1" t="s">
        <v>49</v>
      </c>
      <c r="AF11" s="252" t="s">
        <v>211</v>
      </c>
      <c r="AG11" s="252"/>
      <c r="AH11" s="3"/>
    </row>
    <row r="12" spans="11:34" ht="24" x14ac:dyDescent="0.3">
      <c r="K12" s="251" t="s">
        <v>67</v>
      </c>
      <c r="L12" s="185" t="s">
        <v>42</v>
      </c>
      <c r="M12" s="187" t="s">
        <v>75</v>
      </c>
      <c r="N12" s="187" t="s">
        <v>82</v>
      </c>
      <c r="O12" s="187" t="s">
        <v>89</v>
      </c>
      <c r="P12" s="186">
        <v>1</v>
      </c>
      <c r="Q12" s="187" t="s">
        <v>96</v>
      </c>
      <c r="R12" s="187" t="s">
        <v>97</v>
      </c>
      <c r="S12" s="187" t="s">
        <v>98</v>
      </c>
      <c r="T12" s="187" t="s">
        <v>99</v>
      </c>
      <c r="U12" s="187" t="s">
        <v>100</v>
      </c>
      <c r="V12" s="187" t="s">
        <v>101</v>
      </c>
      <c r="W12" s="3"/>
      <c r="X12" s="1" t="s">
        <v>20</v>
      </c>
      <c r="Y12" s="34" t="s">
        <v>175</v>
      </c>
      <c r="Z12" s="2">
        <v>0.36099999999999999</v>
      </c>
      <c r="AA12" s="1">
        <v>0</v>
      </c>
      <c r="AB12" s="1" t="s">
        <v>49</v>
      </c>
      <c r="AF12" s="184" t="s">
        <v>212</v>
      </c>
      <c r="AG12" s="184" t="s">
        <v>213</v>
      </c>
      <c r="AH12" s="3"/>
    </row>
    <row r="13" spans="11:34" ht="22.8" x14ac:dyDescent="0.3">
      <c r="K13" s="251"/>
      <c r="L13" s="185" t="s">
        <v>43</v>
      </c>
      <c r="M13" s="189">
        <v>9.6742402403785169E-5</v>
      </c>
      <c r="N13" s="189">
        <v>7.9639540592729118E-3</v>
      </c>
      <c r="O13" s="189">
        <v>6.5407220063529873E-3</v>
      </c>
      <c r="P13" s="188"/>
      <c r="Q13" s="189">
        <v>1.2008267348132845E-4</v>
      </c>
      <c r="R13" s="189">
        <v>3.6180054600506695E-3</v>
      </c>
      <c r="S13" s="189">
        <v>9.1233502339017909E-3</v>
      </c>
      <c r="T13" s="189">
        <v>2.8134740419206343E-5</v>
      </c>
      <c r="U13" s="189">
        <v>1.0185108542669607E-4</v>
      </c>
      <c r="V13" s="189">
        <v>5.7407927640789491E-9</v>
      </c>
      <c r="W13" s="3"/>
      <c r="X13" s="31"/>
      <c r="Y13" s="32"/>
      <c r="Z13" s="33"/>
      <c r="AA13" s="31"/>
      <c r="AB13" s="31"/>
      <c r="AF13" s="189">
        <v>0.88723671613212263</v>
      </c>
      <c r="AG13" s="186">
        <v>9</v>
      </c>
      <c r="AH13" s="3"/>
    </row>
    <row r="14" spans="11:34" ht="15.6" x14ac:dyDescent="0.3">
      <c r="K14" s="251"/>
      <c r="L14" s="185" t="s">
        <v>44</v>
      </c>
      <c r="M14" s="186">
        <v>50</v>
      </c>
      <c r="N14" s="186">
        <v>50</v>
      </c>
      <c r="O14" s="186">
        <v>50</v>
      </c>
      <c r="P14" s="186">
        <v>50</v>
      </c>
      <c r="Q14" s="186">
        <v>50</v>
      </c>
      <c r="R14" s="186">
        <v>50</v>
      </c>
      <c r="S14" s="186">
        <v>50</v>
      </c>
      <c r="T14" s="186">
        <v>50</v>
      </c>
      <c r="U14" s="186">
        <v>50</v>
      </c>
      <c r="V14" s="186">
        <v>50</v>
      </c>
      <c r="W14" s="3"/>
      <c r="X14" s="31"/>
      <c r="Y14" s="32"/>
      <c r="Z14" s="33"/>
      <c r="AA14" s="31"/>
      <c r="AB14" s="31"/>
    </row>
    <row r="15" spans="11:34" ht="22.8" x14ac:dyDescent="0.3">
      <c r="K15" s="251" t="s">
        <v>68</v>
      </c>
      <c r="L15" s="185" t="s">
        <v>42</v>
      </c>
      <c r="M15" s="187" t="s">
        <v>76</v>
      </c>
      <c r="N15" s="187" t="s">
        <v>83</v>
      </c>
      <c r="O15" s="187" t="s">
        <v>90</v>
      </c>
      <c r="P15" s="187" t="s">
        <v>96</v>
      </c>
      <c r="Q15" s="186">
        <v>1</v>
      </c>
      <c r="R15" s="187" t="s">
        <v>102</v>
      </c>
      <c r="S15" s="187" t="s">
        <v>100</v>
      </c>
      <c r="T15" s="187" t="s">
        <v>103</v>
      </c>
      <c r="U15" s="187" t="s">
        <v>104</v>
      </c>
      <c r="V15" s="187" t="s">
        <v>105</v>
      </c>
      <c r="W15" s="3"/>
      <c r="X15" s="31"/>
      <c r="Y15" s="32"/>
      <c r="Z15" s="33"/>
      <c r="AA15" s="31"/>
      <c r="AB15" s="31"/>
    </row>
    <row r="16" spans="11:34" ht="22.8" x14ac:dyDescent="0.3">
      <c r="K16" s="251"/>
      <c r="L16" s="185" t="s">
        <v>43</v>
      </c>
      <c r="M16" s="189">
        <v>2.434031153132944E-4</v>
      </c>
      <c r="N16" s="189">
        <v>1.9095467549953477E-4</v>
      </c>
      <c r="O16" s="189">
        <v>1.2777132211476505E-2</v>
      </c>
      <c r="P16" s="189">
        <v>1.2008267348132845E-4</v>
      </c>
      <c r="Q16" s="188"/>
      <c r="R16" s="189">
        <v>2.3337811456368637E-3</v>
      </c>
      <c r="S16" s="189">
        <v>9.9998607952271561E-5</v>
      </c>
      <c r="T16" s="189">
        <v>1.0200678394653409E-3</v>
      </c>
      <c r="U16" s="189">
        <v>1.928523881696918E-5</v>
      </c>
      <c r="V16" s="189">
        <v>5.6558309684588751E-10</v>
      </c>
      <c r="W16" s="3"/>
    </row>
    <row r="17" spans="11:23" x14ac:dyDescent="0.3">
      <c r="K17" s="251"/>
      <c r="L17" s="185" t="s">
        <v>44</v>
      </c>
      <c r="M17" s="186">
        <v>50</v>
      </c>
      <c r="N17" s="186">
        <v>50</v>
      </c>
      <c r="O17" s="186">
        <v>50</v>
      </c>
      <c r="P17" s="186">
        <v>50</v>
      </c>
      <c r="Q17" s="186">
        <v>50</v>
      </c>
      <c r="R17" s="186">
        <v>50</v>
      </c>
      <c r="S17" s="186">
        <v>50</v>
      </c>
      <c r="T17" s="186">
        <v>50</v>
      </c>
      <c r="U17" s="186">
        <v>50</v>
      </c>
      <c r="V17" s="186">
        <v>50</v>
      </c>
      <c r="W17" s="3"/>
    </row>
    <row r="18" spans="11:23" ht="22.8" x14ac:dyDescent="0.3">
      <c r="K18" s="251" t="s">
        <v>69</v>
      </c>
      <c r="L18" s="185" t="s">
        <v>42</v>
      </c>
      <c r="M18" s="187" t="s">
        <v>77</v>
      </c>
      <c r="N18" s="187" t="s">
        <v>84</v>
      </c>
      <c r="O18" s="187" t="s">
        <v>91</v>
      </c>
      <c r="P18" s="187" t="s">
        <v>97</v>
      </c>
      <c r="Q18" s="187" t="s">
        <v>102</v>
      </c>
      <c r="R18" s="186">
        <v>1</v>
      </c>
      <c r="S18" s="187" t="s">
        <v>106</v>
      </c>
      <c r="T18" s="187" t="s">
        <v>107</v>
      </c>
      <c r="U18" s="187" t="s">
        <v>108</v>
      </c>
      <c r="V18" s="187" t="s">
        <v>109</v>
      </c>
      <c r="W18" s="3"/>
    </row>
    <row r="19" spans="11:23" ht="22.8" x14ac:dyDescent="0.3">
      <c r="K19" s="251"/>
      <c r="L19" s="185" t="s">
        <v>43</v>
      </c>
      <c r="M19" s="189">
        <v>7.4073000833208111E-4</v>
      </c>
      <c r="N19" s="189">
        <v>6.2987844357922885E-3</v>
      </c>
      <c r="O19" s="189">
        <v>1.8595473440490198E-2</v>
      </c>
      <c r="P19" s="189">
        <v>3.6180054600506695E-3</v>
      </c>
      <c r="Q19" s="189">
        <v>2.3337811456368637E-3</v>
      </c>
      <c r="R19" s="188"/>
      <c r="S19" s="189">
        <v>4.1904065409190445E-5</v>
      </c>
      <c r="T19" s="189">
        <v>1.795023045754254E-2</v>
      </c>
      <c r="U19" s="189">
        <v>1.8331356313350201E-5</v>
      </c>
      <c r="V19" s="189">
        <v>9.212658419999348E-8</v>
      </c>
      <c r="W19" s="3"/>
    </row>
    <row r="20" spans="11:23" x14ac:dyDescent="0.3">
      <c r="K20" s="251"/>
      <c r="L20" s="185" t="s">
        <v>44</v>
      </c>
      <c r="M20" s="186">
        <v>50</v>
      </c>
      <c r="N20" s="186">
        <v>50</v>
      </c>
      <c r="O20" s="186">
        <v>50</v>
      </c>
      <c r="P20" s="186">
        <v>50</v>
      </c>
      <c r="Q20" s="186">
        <v>50</v>
      </c>
      <c r="R20" s="186">
        <v>50</v>
      </c>
      <c r="S20" s="186">
        <v>50</v>
      </c>
      <c r="T20" s="186">
        <v>50</v>
      </c>
      <c r="U20" s="186">
        <v>50</v>
      </c>
      <c r="V20" s="186">
        <v>50</v>
      </c>
      <c r="W20" s="3"/>
    </row>
    <row r="21" spans="11:23" ht="22.8" x14ac:dyDescent="0.3">
      <c r="K21" s="251" t="s">
        <v>70</v>
      </c>
      <c r="L21" s="185" t="s">
        <v>42</v>
      </c>
      <c r="M21" s="187" t="s">
        <v>78</v>
      </c>
      <c r="N21" s="187" t="s">
        <v>85</v>
      </c>
      <c r="O21" s="187" t="s">
        <v>92</v>
      </c>
      <c r="P21" s="187" t="s">
        <v>98</v>
      </c>
      <c r="Q21" s="187" t="s">
        <v>100</v>
      </c>
      <c r="R21" s="187" t="s">
        <v>106</v>
      </c>
      <c r="S21" s="186">
        <v>1</v>
      </c>
      <c r="T21" s="187" t="s">
        <v>110</v>
      </c>
      <c r="U21" s="187" t="s">
        <v>111</v>
      </c>
      <c r="V21" s="187" t="s">
        <v>112</v>
      </c>
      <c r="W21" s="3"/>
    </row>
    <row r="22" spans="11:23" ht="22.8" x14ac:dyDescent="0.3">
      <c r="K22" s="251"/>
      <c r="L22" s="185" t="s">
        <v>43</v>
      </c>
      <c r="M22" s="189">
        <v>5.291277704989768E-4</v>
      </c>
      <c r="N22" s="189">
        <v>4.7776251114678542E-5</v>
      </c>
      <c r="O22" s="189">
        <v>2.6658861361242197E-3</v>
      </c>
      <c r="P22" s="189">
        <v>9.1233502339017909E-3</v>
      </c>
      <c r="Q22" s="189">
        <v>9.9998607952271561E-5</v>
      </c>
      <c r="R22" s="189">
        <v>4.1904065409190445E-5</v>
      </c>
      <c r="S22" s="188"/>
      <c r="T22" s="189">
        <v>4.6055418014338961E-3</v>
      </c>
      <c r="U22" s="189">
        <v>6.7220902934926755E-3</v>
      </c>
      <c r="V22" s="189">
        <v>1.7972274419058071E-8</v>
      </c>
      <c r="W22" s="3"/>
    </row>
    <row r="23" spans="11:23" x14ac:dyDescent="0.3">
      <c r="K23" s="251"/>
      <c r="L23" s="185" t="s">
        <v>44</v>
      </c>
      <c r="M23" s="186">
        <v>50</v>
      </c>
      <c r="N23" s="186">
        <v>50</v>
      </c>
      <c r="O23" s="186">
        <v>50</v>
      </c>
      <c r="P23" s="186">
        <v>50</v>
      </c>
      <c r="Q23" s="186">
        <v>50</v>
      </c>
      <c r="R23" s="186">
        <v>50</v>
      </c>
      <c r="S23" s="186">
        <v>50</v>
      </c>
      <c r="T23" s="186">
        <v>50</v>
      </c>
      <c r="U23" s="186">
        <v>50</v>
      </c>
      <c r="V23" s="186">
        <v>50</v>
      </c>
      <c r="W23" s="3"/>
    </row>
    <row r="24" spans="11:23" ht="22.8" x14ac:dyDescent="0.3">
      <c r="K24" s="251" t="s">
        <v>71</v>
      </c>
      <c r="L24" s="185" t="s">
        <v>42</v>
      </c>
      <c r="M24" s="187" t="s">
        <v>76</v>
      </c>
      <c r="N24" s="187" t="s">
        <v>86</v>
      </c>
      <c r="O24" s="187" t="s">
        <v>93</v>
      </c>
      <c r="P24" s="187" t="s">
        <v>99</v>
      </c>
      <c r="Q24" s="187" t="s">
        <v>103</v>
      </c>
      <c r="R24" s="187" t="s">
        <v>107</v>
      </c>
      <c r="S24" s="187" t="s">
        <v>110</v>
      </c>
      <c r="T24" s="186">
        <v>1</v>
      </c>
      <c r="U24" s="187" t="s">
        <v>113</v>
      </c>
      <c r="V24" s="187" t="s">
        <v>114</v>
      </c>
      <c r="W24" s="3"/>
    </row>
    <row r="25" spans="11:23" ht="22.8" x14ac:dyDescent="0.3">
      <c r="K25" s="251"/>
      <c r="L25" s="185" t="s">
        <v>43</v>
      </c>
      <c r="M25" s="189">
        <v>2.3844399062678261E-4</v>
      </c>
      <c r="N25" s="189">
        <v>1.1546266957473045E-5</v>
      </c>
      <c r="O25" s="189">
        <v>1.2169231444902421E-2</v>
      </c>
      <c r="P25" s="189">
        <v>2.8134740419206343E-5</v>
      </c>
      <c r="Q25" s="189">
        <v>1.0200678394653409E-3</v>
      </c>
      <c r="R25" s="189">
        <v>1.795023045754254E-2</v>
      </c>
      <c r="S25" s="189">
        <v>4.6055418014338961E-3</v>
      </c>
      <c r="T25" s="188"/>
      <c r="U25" s="189">
        <v>5.9660905139285888E-6</v>
      </c>
      <c r="V25" s="189">
        <v>8.1311453747626984E-10</v>
      </c>
      <c r="W25" s="3"/>
    </row>
    <row r="26" spans="11:23" x14ac:dyDescent="0.3">
      <c r="K26" s="251"/>
      <c r="L26" s="185" t="s">
        <v>44</v>
      </c>
      <c r="M26" s="186">
        <v>50</v>
      </c>
      <c r="N26" s="186">
        <v>50</v>
      </c>
      <c r="O26" s="186">
        <v>50</v>
      </c>
      <c r="P26" s="186">
        <v>50</v>
      </c>
      <c r="Q26" s="186">
        <v>50</v>
      </c>
      <c r="R26" s="186">
        <v>50</v>
      </c>
      <c r="S26" s="186">
        <v>50</v>
      </c>
      <c r="T26" s="186">
        <v>50</v>
      </c>
      <c r="U26" s="186">
        <v>50</v>
      </c>
      <c r="V26" s="186">
        <v>50</v>
      </c>
      <c r="W26" s="3"/>
    </row>
    <row r="27" spans="11:23" ht="22.8" x14ac:dyDescent="0.3">
      <c r="K27" s="251" t="s">
        <v>72</v>
      </c>
      <c r="L27" s="185" t="s">
        <v>42</v>
      </c>
      <c r="M27" s="187" t="s">
        <v>79</v>
      </c>
      <c r="N27" s="187" t="s">
        <v>87</v>
      </c>
      <c r="O27" s="187" t="s">
        <v>94</v>
      </c>
      <c r="P27" s="187" t="s">
        <v>100</v>
      </c>
      <c r="Q27" s="187" t="s">
        <v>104</v>
      </c>
      <c r="R27" s="187" t="s">
        <v>108</v>
      </c>
      <c r="S27" s="187" t="s">
        <v>111</v>
      </c>
      <c r="T27" s="187" t="s">
        <v>113</v>
      </c>
      <c r="U27" s="186">
        <v>1</v>
      </c>
      <c r="V27" s="187" t="s">
        <v>115</v>
      </c>
      <c r="W27" s="3"/>
    </row>
    <row r="28" spans="11:23" ht="22.8" x14ac:dyDescent="0.3">
      <c r="K28" s="251"/>
      <c r="L28" s="185" t="s">
        <v>43</v>
      </c>
      <c r="M28" s="189">
        <v>3.5234820322354249E-5</v>
      </c>
      <c r="N28" s="189">
        <v>4.3783359490440262E-5</v>
      </c>
      <c r="O28" s="189">
        <v>6.5172215396945728E-4</v>
      </c>
      <c r="P28" s="189">
        <v>1.0185108542669607E-4</v>
      </c>
      <c r="Q28" s="189">
        <v>1.928523881696918E-5</v>
      </c>
      <c r="R28" s="189">
        <v>1.8331356313350201E-5</v>
      </c>
      <c r="S28" s="189">
        <v>6.7220902934926755E-3</v>
      </c>
      <c r="T28" s="189">
        <v>5.9660905139285888E-6</v>
      </c>
      <c r="U28" s="188"/>
      <c r="V28" s="189">
        <v>1.3265805717009256E-12</v>
      </c>
      <c r="W28" s="3"/>
    </row>
    <row r="29" spans="11:23" x14ac:dyDescent="0.3">
      <c r="K29" s="251"/>
      <c r="L29" s="185" t="s">
        <v>44</v>
      </c>
      <c r="M29" s="186">
        <v>50</v>
      </c>
      <c r="N29" s="186">
        <v>50</v>
      </c>
      <c r="O29" s="186">
        <v>50</v>
      </c>
      <c r="P29" s="186">
        <v>50</v>
      </c>
      <c r="Q29" s="186">
        <v>50</v>
      </c>
      <c r="R29" s="186">
        <v>50</v>
      </c>
      <c r="S29" s="186">
        <v>50</v>
      </c>
      <c r="T29" s="186">
        <v>50</v>
      </c>
      <c r="U29" s="186">
        <v>50</v>
      </c>
      <c r="V29" s="186">
        <v>50</v>
      </c>
      <c r="W29" s="3"/>
    </row>
    <row r="30" spans="11:23" ht="22.8" x14ac:dyDescent="0.3">
      <c r="K30" s="251" t="s">
        <v>41</v>
      </c>
      <c r="L30" s="185" t="s">
        <v>42</v>
      </c>
      <c r="M30" s="187" t="s">
        <v>80</v>
      </c>
      <c r="N30" s="187" t="s">
        <v>88</v>
      </c>
      <c r="O30" s="187" t="s">
        <v>95</v>
      </c>
      <c r="P30" s="187" t="s">
        <v>101</v>
      </c>
      <c r="Q30" s="187" t="s">
        <v>105</v>
      </c>
      <c r="R30" s="187" t="s">
        <v>109</v>
      </c>
      <c r="S30" s="187" t="s">
        <v>112</v>
      </c>
      <c r="T30" s="187" t="s">
        <v>114</v>
      </c>
      <c r="U30" s="187" t="s">
        <v>115</v>
      </c>
      <c r="V30" s="186">
        <v>1</v>
      </c>
      <c r="W30" s="3"/>
    </row>
    <row r="31" spans="11:23" ht="22.8" x14ac:dyDescent="0.3">
      <c r="K31" s="251"/>
      <c r="L31" s="185" t="s">
        <v>43</v>
      </c>
      <c r="M31" s="189">
        <v>1.6184282034086291E-10</v>
      </c>
      <c r="N31" s="189">
        <v>3.5488659743289434E-10</v>
      </c>
      <c r="O31" s="189">
        <v>6.9934599894302816E-7</v>
      </c>
      <c r="P31" s="189">
        <v>5.7407927640789491E-9</v>
      </c>
      <c r="Q31" s="189">
        <v>5.6558309684588751E-10</v>
      </c>
      <c r="R31" s="189">
        <v>9.212658419999348E-8</v>
      </c>
      <c r="S31" s="189">
        <v>1.7972274419058071E-8</v>
      </c>
      <c r="T31" s="189">
        <v>8.1311453747626984E-10</v>
      </c>
      <c r="U31" s="189">
        <v>1.3265805717009256E-12</v>
      </c>
      <c r="V31" s="188"/>
      <c r="W31" s="3"/>
    </row>
    <row r="32" spans="11:23" x14ac:dyDescent="0.3">
      <c r="K32" s="251"/>
      <c r="L32" s="185" t="s">
        <v>44</v>
      </c>
      <c r="M32" s="186">
        <v>50</v>
      </c>
      <c r="N32" s="186">
        <v>50</v>
      </c>
      <c r="O32" s="186">
        <v>50</v>
      </c>
      <c r="P32" s="186">
        <v>50</v>
      </c>
      <c r="Q32" s="186">
        <v>50</v>
      </c>
      <c r="R32" s="186">
        <v>50</v>
      </c>
      <c r="S32" s="186">
        <v>50</v>
      </c>
      <c r="T32" s="186">
        <v>50</v>
      </c>
      <c r="U32" s="186">
        <v>50</v>
      </c>
      <c r="V32" s="186">
        <v>50</v>
      </c>
      <c r="W32" s="3"/>
    </row>
    <row r="33" spans="1:23" x14ac:dyDescent="0.3">
      <c r="K33" s="250" t="s">
        <v>45</v>
      </c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3"/>
    </row>
    <row r="34" spans="1:23" x14ac:dyDescent="0.3">
      <c r="K34" s="250" t="s">
        <v>46</v>
      </c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3"/>
    </row>
    <row r="37" spans="1:23" ht="15.6" x14ac:dyDescent="0.3">
      <c r="A37" s="247" t="s">
        <v>423</v>
      </c>
      <c r="B37" s="248"/>
      <c r="C37" s="248"/>
      <c r="D37" s="248"/>
      <c r="E37" s="248"/>
      <c r="F37" s="248"/>
      <c r="G37" s="248"/>
      <c r="H37" s="248"/>
      <c r="I37" s="248"/>
      <c r="J37" s="248"/>
    </row>
    <row r="38" spans="1:23" x14ac:dyDescent="0.3">
      <c r="A38" s="173" t="s">
        <v>12</v>
      </c>
      <c r="B38" s="173" t="s">
        <v>13</v>
      </c>
      <c r="C38" s="173" t="s">
        <v>14</v>
      </c>
      <c r="D38" s="173" t="s">
        <v>15</v>
      </c>
      <c r="E38" s="173" t="s">
        <v>16</v>
      </c>
      <c r="F38" s="173" t="s">
        <v>17</v>
      </c>
      <c r="G38" s="173" t="s">
        <v>18</v>
      </c>
      <c r="H38" s="173" t="s">
        <v>19</v>
      </c>
      <c r="I38" s="173" t="s">
        <v>20</v>
      </c>
      <c r="J38" s="174" t="s">
        <v>41</v>
      </c>
    </row>
    <row r="39" spans="1:23" x14ac:dyDescent="0.3">
      <c r="A39" s="78">
        <v>4</v>
      </c>
      <c r="B39" s="78">
        <v>4</v>
      </c>
      <c r="C39" s="78">
        <v>4</v>
      </c>
      <c r="D39" s="78">
        <v>4</v>
      </c>
      <c r="E39" s="78">
        <v>4</v>
      </c>
      <c r="F39" s="78">
        <v>4</v>
      </c>
      <c r="G39" s="78">
        <v>4</v>
      </c>
      <c r="H39" s="78">
        <v>4</v>
      </c>
      <c r="I39" s="78">
        <v>4</v>
      </c>
      <c r="J39" s="172">
        <f>SUM(A39:I39)</f>
        <v>36</v>
      </c>
    </row>
    <row r="40" spans="1:23" x14ac:dyDescent="0.3">
      <c r="A40" s="78">
        <v>3</v>
      </c>
      <c r="B40" s="78">
        <v>3</v>
      </c>
      <c r="C40" s="78">
        <v>3</v>
      </c>
      <c r="D40" s="78">
        <v>3</v>
      </c>
      <c r="E40" s="78">
        <v>4</v>
      </c>
      <c r="F40" s="78">
        <v>4</v>
      </c>
      <c r="G40" s="78">
        <v>4</v>
      </c>
      <c r="H40" s="78">
        <v>2</v>
      </c>
      <c r="I40" s="78">
        <v>3</v>
      </c>
      <c r="J40" s="172">
        <f t="shared" ref="J40:J88" si="0">SUM(A40:I40)</f>
        <v>29</v>
      </c>
    </row>
    <row r="41" spans="1:23" x14ac:dyDescent="0.3">
      <c r="A41" s="78">
        <v>3</v>
      </c>
      <c r="B41" s="78">
        <v>4</v>
      </c>
      <c r="C41" s="78">
        <v>3</v>
      </c>
      <c r="D41" s="78">
        <v>4</v>
      </c>
      <c r="E41" s="78">
        <v>3</v>
      </c>
      <c r="F41" s="78">
        <v>4</v>
      </c>
      <c r="G41" s="78">
        <v>4</v>
      </c>
      <c r="H41" s="78">
        <v>4</v>
      </c>
      <c r="I41" s="78">
        <v>3</v>
      </c>
      <c r="J41" s="172">
        <f t="shared" si="0"/>
        <v>32</v>
      </c>
    </row>
    <row r="42" spans="1:23" x14ac:dyDescent="0.3">
      <c r="A42" s="78">
        <v>5</v>
      </c>
      <c r="B42" s="78">
        <v>4</v>
      </c>
      <c r="C42" s="78">
        <v>5</v>
      </c>
      <c r="D42" s="78">
        <v>5</v>
      </c>
      <c r="E42" s="78">
        <v>5</v>
      </c>
      <c r="F42" s="78">
        <v>4</v>
      </c>
      <c r="G42" s="78">
        <v>4</v>
      </c>
      <c r="H42" s="78">
        <v>4</v>
      </c>
      <c r="I42" s="78">
        <v>4</v>
      </c>
      <c r="J42" s="172">
        <f t="shared" si="0"/>
        <v>40</v>
      </c>
    </row>
    <row r="43" spans="1:23" x14ac:dyDescent="0.3">
      <c r="A43" s="78">
        <v>4</v>
      </c>
      <c r="B43" s="78">
        <v>4</v>
      </c>
      <c r="C43" s="78">
        <v>5</v>
      </c>
      <c r="D43" s="78">
        <v>4</v>
      </c>
      <c r="E43" s="78">
        <v>4</v>
      </c>
      <c r="F43" s="78">
        <v>4</v>
      </c>
      <c r="G43" s="78">
        <v>4</v>
      </c>
      <c r="H43" s="78">
        <v>4</v>
      </c>
      <c r="I43" s="78">
        <v>5</v>
      </c>
      <c r="J43" s="172">
        <f t="shared" si="0"/>
        <v>38</v>
      </c>
    </row>
    <row r="44" spans="1:23" x14ac:dyDescent="0.3">
      <c r="A44" s="78">
        <v>5</v>
      </c>
      <c r="B44" s="78">
        <v>4</v>
      </c>
      <c r="C44" s="78">
        <v>4</v>
      </c>
      <c r="D44" s="78">
        <v>4</v>
      </c>
      <c r="E44" s="78">
        <v>4</v>
      </c>
      <c r="F44" s="78">
        <v>4</v>
      </c>
      <c r="G44" s="78">
        <v>4</v>
      </c>
      <c r="H44" s="78">
        <v>4</v>
      </c>
      <c r="I44" s="78">
        <v>4</v>
      </c>
      <c r="J44" s="172">
        <f t="shared" si="0"/>
        <v>37</v>
      </c>
    </row>
    <row r="45" spans="1:23" x14ac:dyDescent="0.3">
      <c r="A45" s="78">
        <v>4</v>
      </c>
      <c r="B45" s="78">
        <v>4</v>
      </c>
      <c r="C45" s="78">
        <v>3</v>
      </c>
      <c r="D45" s="78">
        <v>3</v>
      </c>
      <c r="E45" s="78">
        <v>4</v>
      </c>
      <c r="F45" s="78">
        <v>4</v>
      </c>
      <c r="G45" s="78">
        <v>4</v>
      </c>
      <c r="H45" s="78">
        <v>4</v>
      </c>
      <c r="I45" s="78">
        <v>4</v>
      </c>
      <c r="J45" s="172">
        <f t="shared" si="0"/>
        <v>34</v>
      </c>
    </row>
    <row r="46" spans="1:23" x14ac:dyDescent="0.3">
      <c r="A46" s="78">
        <v>4</v>
      </c>
      <c r="B46" s="78">
        <v>4</v>
      </c>
      <c r="C46" s="78">
        <v>4</v>
      </c>
      <c r="D46" s="78">
        <v>4</v>
      </c>
      <c r="E46" s="78">
        <v>4</v>
      </c>
      <c r="F46" s="78">
        <v>4</v>
      </c>
      <c r="G46" s="78">
        <v>4</v>
      </c>
      <c r="H46" s="78">
        <v>3</v>
      </c>
      <c r="I46" s="78">
        <v>5</v>
      </c>
      <c r="J46" s="172">
        <f t="shared" si="0"/>
        <v>36</v>
      </c>
    </row>
    <row r="47" spans="1:23" x14ac:dyDescent="0.3">
      <c r="A47" s="78">
        <v>3</v>
      </c>
      <c r="B47" s="78">
        <v>4</v>
      </c>
      <c r="C47" s="78">
        <v>3</v>
      </c>
      <c r="D47" s="78">
        <v>4</v>
      </c>
      <c r="E47" s="78">
        <v>4</v>
      </c>
      <c r="F47" s="78">
        <v>4</v>
      </c>
      <c r="G47" s="78">
        <v>4</v>
      </c>
      <c r="H47" s="78">
        <v>3</v>
      </c>
      <c r="I47" s="78">
        <v>4</v>
      </c>
      <c r="J47" s="172">
        <f t="shared" si="0"/>
        <v>33</v>
      </c>
    </row>
    <row r="48" spans="1:23" x14ac:dyDescent="0.3">
      <c r="A48" s="78">
        <v>4</v>
      </c>
      <c r="B48" s="78">
        <v>4</v>
      </c>
      <c r="C48" s="78">
        <v>4</v>
      </c>
      <c r="D48" s="78">
        <v>5</v>
      </c>
      <c r="E48" s="78">
        <v>4</v>
      </c>
      <c r="F48" s="78">
        <v>4</v>
      </c>
      <c r="G48" s="78">
        <v>4</v>
      </c>
      <c r="H48" s="78">
        <v>5</v>
      </c>
      <c r="I48" s="78">
        <v>4</v>
      </c>
      <c r="J48" s="172">
        <f t="shared" si="0"/>
        <v>38</v>
      </c>
    </row>
    <row r="49" spans="1:10" x14ac:dyDescent="0.3">
      <c r="A49" s="78">
        <v>3</v>
      </c>
      <c r="B49" s="78">
        <v>3</v>
      </c>
      <c r="C49" s="78">
        <v>3</v>
      </c>
      <c r="D49" s="78">
        <v>3</v>
      </c>
      <c r="E49" s="78">
        <v>4</v>
      </c>
      <c r="F49" s="78">
        <v>4</v>
      </c>
      <c r="G49" s="78">
        <v>4</v>
      </c>
      <c r="H49" s="78">
        <v>3</v>
      </c>
      <c r="I49" s="78">
        <v>2</v>
      </c>
      <c r="J49" s="172">
        <f t="shared" si="0"/>
        <v>29</v>
      </c>
    </row>
    <row r="50" spans="1:10" x14ac:dyDescent="0.3">
      <c r="A50" s="78">
        <v>3</v>
      </c>
      <c r="B50" s="78">
        <v>3</v>
      </c>
      <c r="C50" s="78">
        <v>3</v>
      </c>
      <c r="D50" s="78">
        <v>4</v>
      </c>
      <c r="E50" s="78">
        <v>4</v>
      </c>
      <c r="F50" s="78">
        <v>4</v>
      </c>
      <c r="G50" s="78">
        <v>2</v>
      </c>
      <c r="H50" s="78">
        <v>4</v>
      </c>
      <c r="I50" s="78">
        <v>4</v>
      </c>
      <c r="J50" s="172">
        <f t="shared" si="0"/>
        <v>31</v>
      </c>
    </row>
    <row r="51" spans="1:10" x14ac:dyDescent="0.3">
      <c r="A51" s="78">
        <v>4</v>
      </c>
      <c r="B51" s="78">
        <v>4</v>
      </c>
      <c r="C51" s="78">
        <v>4</v>
      </c>
      <c r="D51" s="78">
        <v>3</v>
      </c>
      <c r="E51" s="78">
        <v>3</v>
      </c>
      <c r="F51" s="78">
        <v>4</v>
      </c>
      <c r="G51" s="78">
        <v>4</v>
      </c>
      <c r="H51" s="78">
        <v>4</v>
      </c>
      <c r="I51" s="78">
        <v>3</v>
      </c>
      <c r="J51" s="172">
        <f t="shared" si="0"/>
        <v>33</v>
      </c>
    </row>
    <row r="52" spans="1:10" x14ac:dyDescent="0.3">
      <c r="A52" s="78">
        <v>3</v>
      </c>
      <c r="B52" s="78">
        <v>3</v>
      </c>
      <c r="C52" s="78">
        <v>3</v>
      </c>
      <c r="D52" s="78">
        <v>3</v>
      </c>
      <c r="E52" s="78">
        <v>3</v>
      </c>
      <c r="F52" s="78">
        <v>2</v>
      </c>
      <c r="G52" s="78">
        <v>2</v>
      </c>
      <c r="H52" s="78">
        <v>3</v>
      </c>
      <c r="I52" s="78">
        <v>2</v>
      </c>
      <c r="J52" s="172">
        <f t="shared" si="0"/>
        <v>24</v>
      </c>
    </row>
    <row r="53" spans="1:10" x14ac:dyDescent="0.3">
      <c r="A53" s="78">
        <v>4</v>
      </c>
      <c r="B53" s="78">
        <v>4</v>
      </c>
      <c r="C53" s="78">
        <v>3</v>
      </c>
      <c r="D53" s="78">
        <v>3</v>
      </c>
      <c r="E53" s="78">
        <v>3</v>
      </c>
      <c r="F53" s="78">
        <v>4</v>
      </c>
      <c r="G53" s="78">
        <v>3</v>
      </c>
      <c r="H53" s="78">
        <v>4</v>
      </c>
      <c r="I53" s="78">
        <v>4</v>
      </c>
      <c r="J53" s="172">
        <f t="shared" si="0"/>
        <v>32</v>
      </c>
    </row>
    <row r="54" spans="1:10" x14ac:dyDescent="0.3">
      <c r="A54" s="78">
        <v>4</v>
      </c>
      <c r="B54" s="78">
        <v>3</v>
      </c>
      <c r="C54" s="78">
        <v>4</v>
      </c>
      <c r="D54" s="78">
        <v>4</v>
      </c>
      <c r="E54" s="78">
        <v>5</v>
      </c>
      <c r="F54" s="78">
        <v>4</v>
      </c>
      <c r="G54" s="78">
        <v>4</v>
      </c>
      <c r="H54" s="78">
        <v>4</v>
      </c>
      <c r="I54" s="78">
        <v>5</v>
      </c>
      <c r="J54" s="172">
        <f t="shared" si="0"/>
        <v>37</v>
      </c>
    </row>
    <row r="55" spans="1:10" x14ac:dyDescent="0.3">
      <c r="A55" s="78">
        <v>3</v>
      </c>
      <c r="B55" s="78">
        <v>3</v>
      </c>
      <c r="C55" s="78">
        <v>3</v>
      </c>
      <c r="D55" s="78">
        <v>4</v>
      </c>
      <c r="E55" s="78">
        <v>3</v>
      </c>
      <c r="F55" s="78">
        <v>3</v>
      </c>
      <c r="G55" s="78">
        <v>3</v>
      </c>
      <c r="H55" s="78">
        <v>4</v>
      </c>
      <c r="I55" s="78">
        <v>4</v>
      </c>
      <c r="J55" s="172">
        <f t="shared" si="0"/>
        <v>30</v>
      </c>
    </row>
    <row r="56" spans="1:10" x14ac:dyDescent="0.3">
      <c r="A56" s="78">
        <v>5</v>
      </c>
      <c r="B56" s="78">
        <v>5</v>
      </c>
      <c r="C56" s="78">
        <v>4</v>
      </c>
      <c r="D56" s="78">
        <v>4</v>
      </c>
      <c r="E56" s="78">
        <v>5</v>
      </c>
      <c r="F56" s="78">
        <v>4</v>
      </c>
      <c r="G56" s="78">
        <v>5</v>
      </c>
      <c r="H56" s="78">
        <v>4</v>
      </c>
      <c r="I56" s="78">
        <v>4</v>
      </c>
      <c r="J56" s="172">
        <f t="shared" si="0"/>
        <v>40</v>
      </c>
    </row>
    <row r="57" spans="1:10" x14ac:dyDescent="0.3">
      <c r="A57" s="78">
        <v>3</v>
      </c>
      <c r="B57" s="78">
        <v>4</v>
      </c>
      <c r="C57" s="78">
        <v>4</v>
      </c>
      <c r="D57" s="78">
        <v>3</v>
      </c>
      <c r="E57" s="78">
        <v>4</v>
      </c>
      <c r="F57" s="78">
        <v>3</v>
      </c>
      <c r="G57" s="78">
        <v>3</v>
      </c>
      <c r="H57" s="78">
        <v>4</v>
      </c>
      <c r="I57" s="78">
        <v>4</v>
      </c>
      <c r="J57" s="172">
        <f t="shared" si="0"/>
        <v>32</v>
      </c>
    </row>
    <row r="58" spans="1:10" x14ac:dyDescent="0.3">
      <c r="A58" s="78">
        <v>4</v>
      </c>
      <c r="B58" s="78">
        <v>3</v>
      </c>
      <c r="C58" s="78">
        <v>4</v>
      </c>
      <c r="D58" s="78">
        <v>3</v>
      </c>
      <c r="E58" s="78">
        <v>2</v>
      </c>
      <c r="F58" s="78">
        <v>3</v>
      </c>
      <c r="G58" s="78">
        <v>3</v>
      </c>
      <c r="H58" s="78">
        <v>3</v>
      </c>
      <c r="I58" s="78">
        <v>3</v>
      </c>
      <c r="J58" s="172">
        <f t="shared" si="0"/>
        <v>28</v>
      </c>
    </row>
    <row r="59" spans="1:10" x14ac:dyDescent="0.3">
      <c r="A59" s="78">
        <v>5</v>
      </c>
      <c r="B59" s="78">
        <v>4</v>
      </c>
      <c r="C59" s="78">
        <v>4</v>
      </c>
      <c r="D59" s="78">
        <v>5</v>
      </c>
      <c r="E59" s="78">
        <v>4</v>
      </c>
      <c r="F59" s="78">
        <v>4</v>
      </c>
      <c r="G59" s="78">
        <v>4</v>
      </c>
      <c r="H59" s="78">
        <v>5</v>
      </c>
      <c r="I59" s="78">
        <v>5</v>
      </c>
      <c r="J59" s="172">
        <f t="shared" si="0"/>
        <v>40</v>
      </c>
    </row>
    <row r="60" spans="1:10" x14ac:dyDescent="0.3">
      <c r="A60" s="78">
        <v>4</v>
      </c>
      <c r="B60" s="78">
        <v>5</v>
      </c>
      <c r="C60" s="78">
        <v>4</v>
      </c>
      <c r="D60" s="78">
        <v>4</v>
      </c>
      <c r="E60" s="78">
        <v>4</v>
      </c>
      <c r="F60" s="78">
        <v>4</v>
      </c>
      <c r="G60" s="78">
        <v>4</v>
      </c>
      <c r="H60" s="78">
        <v>5</v>
      </c>
      <c r="I60" s="78">
        <v>4</v>
      </c>
      <c r="J60" s="172">
        <f t="shared" si="0"/>
        <v>38</v>
      </c>
    </row>
    <row r="61" spans="1:10" x14ac:dyDescent="0.3">
      <c r="A61" s="78">
        <v>4</v>
      </c>
      <c r="B61" s="78">
        <v>5</v>
      </c>
      <c r="C61" s="78">
        <v>3</v>
      </c>
      <c r="D61" s="78">
        <v>4</v>
      </c>
      <c r="E61" s="78">
        <v>4</v>
      </c>
      <c r="F61" s="78">
        <v>4</v>
      </c>
      <c r="G61" s="78">
        <v>4</v>
      </c>
      <c r="H61" s="78">
        <v>4</v>
      </c>
      <c r="I61" s="78">
        <v>4</v>
      </c>
      <c r="J61" s="172">
        <f t="shared" si="0"/>
        <v>36</v>
      </c>
    </row>
    <row r="62" spans="1:10" x14ac:dyDescent="0.3">
      <c r="A62" s="78">
        <v>4</v>
      </c>
      <c r="B62" s="78">
        <v>4</v>
      </c>
      <c r="C62" s="78">
        <v>4</v>
      </c>
      <c r="D62" s="78">
        <v>4</v>
      </c>
      <c r="E62" s="78">
        <v>4</v>
      </c>
      <c r="F62" s="78">
        <v>5</v>
      </c>
      <c r="G62" s="78">
        <v>3</v>
      </c>
      <c r="H62" s="78">
        <v>3</v>
      </c>
      <c r="I62" s="78">
        <v>4</v>
      </c>
      <c r="J62" s="172">
        <f t="shared" si="0"/>
        <v>35</v>
      </c>
    </row>
    <row r="63" spans="1:10" x14ac:dyDescent="0.3">
      <c r="A63" s="78">
        <v>3</v>
      </c>
      <c r="B63" s="78">
        <v>2</v>
      </c>
      <c r="C63" s="78">
        <v>2</v>
      </c>
      <c r="D63" s="78">
        <v>3</v>
      </c>
      <c r="E63" s="78">
        <v>2</v>
      </c>
      <c r="F63" s="78">
        <v>3</v>
      </c>
      <c r="G63" s="78">
        <v>3</v>
      </c>
      <c r="H63" s="78">
        <v>3</v>
      </c>
      <c r="I63" s="78">
        <v>2</v>
      </c>
      <c r="J63" s="172">
        <f t="shared" si="0"/>
        <v>23</v>
      </c>
    </row>
    <row r="64" spans="1:10" x14ac:dyDescent="0.3">
      <c r="A64" s="78">
        <v>3</v>
      </c>
      <c r="B64" s="78">
        <v>5</v>
      </c>
      <c r="C64" s="78">
        <v>5</v>
      </c>
      <c r="D64" s="78">
        <v>3</v>
      </c>
      <c r="E64" s="78">
        <v>3</v>
      </c>
      <c r="F64" s="78">
        <v>4</v>
      </c>
      <c r="G64" s="78">
        <v>4</v>
      </c>
      <c r="H64" s="78">
        <v>4</v>
      </c>
      <c r="I64" s="78">
        <v>4</v>
      </c>
      <c r="J64" s="172">
        <f t="shared" si="0"/>
        <v>35</v>
      </c>
    </row>
    <row r="65" spans="1:10" x14ac:dyDescent="0.3">
      <c r="A65" s="78">
        <v>3</v>
      </c>
      <c r="B65" s="78">
        <v>4</v>
      </c>
      <c r="C65" s="78">
        <v>3</v>
      </c>
      <c r="D65" s="78">
        <v>3</v>
      </c>
      <c r="E65" s="78">
        <v>3</v>
      </c>
      <c r="F65" s="78">
        <v>3</v>
      </c>
      <c r="G65" s="78">
        <v>3</v>
      </c>
      <c r="H65" s="78">
        <v>3</v>
      </c>
      <c r="I65" s="78">
        <v>3</v>
      </c>
      <c r="J65" s="172">
        <f t="shared" si="0"/>
        <v>28</v>
      </c>
    </row>
    <row r="66" spans="1:10" x14ac:dyDescent="0.3">
      <c r="A66" s="78">
        <v>4</v>
      </c>
      <c r="B66" s="78">
        <v>3</v>
      </c>
      <c r="C66" s="78">
        <v>4</v>
      </c>
      <c r="D66" s="78">
        <v>4</v>
      </c>
      <c r="E66" s="78">
        <v>3</v>
      </c>
      <c r="F66" s="78">
        <v>4</v>
      </c>
      <c r="G66" s="78">
        <v>3</v>
      </c>
      <c r="H66" s="78">
        <v>3</v>
      </c>
      <c r="I66" s="78">
        <v>4</v>
      </c>
      <c r="J66" s="172">
        <f t="shared" si="0"/>
        <v>32</v>
      </c>
    </row>
    <row r="67" spans="1:10" x14ac:dyDescent="0.3">
      <c r="A67" s="78">
        <v>3</v>
      </c>
      <c r="B67" s="78">
        <v>3</v>
      </c>
      <c r="C67" s="78">
        <v>4</v>
      </c>
      <c r="D67" s="78">
        <v>4</v>
      </c>
      <c r="E67" s="78">
        <v>3</v>
      </c>
      <c r="F67" s="78">
        <v>4</v>
      </c>
      <c r="G67" s="78">
        <v>4</v>
      </c>
      <c r="H67" s="78">
        <v>3</v>
      </c>
      <c r="I67" s="78">
        <v>3</v>
      </c>
      <c r="J67" s="172">
        <f t="shared" si="0"/>
        <v>31</v>
      </c>
    </row>
    <row r="68" spans="1:10" x14ac:dyDescent="0.3">
      <c r="A68" s="78">
        <v>3</v>
      </c>
      <c r="B68" s="78">
        <v>3</v>
      </c>
      <c r="C68" s="78">
        <v>3</v>
      </c>
      <c r="D68" s="78">
        <v>3</v>
      </c>
      <c r="E68" s="78">
        <v>3</v>
      </c>
      <c r="F68" s="78">
        <v>2</v>
      </c>
      <c r="G68" s="78">
        <v>3</v>
      </c>
      <c r="H68" s="78">
        <v>3</v>
      </c>
      <c r="I68" s="78">
        <v>2</v>
      </c>
      <c r="J68" s="172">
        <f t="shared" si="0"/>
        <v>25</v>
      </c>
    </row>
    <row r="69" spans="1:10" x14ac:dyDescent="0.3">
      <c r="A69" s="78">
        <v>3</v>
      </c>
      <c r="B69" s="78">
        <v>3</v>
      </c>
      <c r="C69" s="78">
        <v>4</v>
      </c>
      <c r="D69" s="78">
        <v>3</v>
      </c>
      <c r="E69" s="78">
        <v>4</v>
      </c>
      <c r="F69" s="78">
        <v>3</v>
      </c>
      <c r="G69" s="78">
        <v>3</v>
      </c>
      <c r="H69" s="78">
        <v>4</v>
      </c>
      <c r="I69" s="78">
        <v>3</v>
      </c>
      <c r="J69" s="172">
        <f t="shared" si="0"/>
        <v>30</v>
      </c>
    </row>
    <row r="70" spans="1:10" x14ac:dyDescent="0.3">
      <c r="A70" s="78">
        <v>4</v>
      </c>
      <c r="B70" s="78">
        <v>4</v>
      </c>
      <c r="C70" s="78">
        <v>4</v>
      </c>
      <c r="D70" s="78">
        <v>5</v>
      </c>
      <c r="E70" s="78">
        <v>5</v>
      </c>
      <c r="F70" s="78">
        <v>4</v>
      </c>
      <c r="G70" s="78">
        <v>4</v>
      </c>
      <c r="H70" s="78">
        <v>5</v>
      </c>
      <c r="I70" s="78">
        <v>5</v>
      </c>
      <c r="J70" s="172">
        <f t="shared" si="0"/>
        <v>40</v>
      </c>
    </row>
    <row r="71" spans="1:10" x14ac:dyDescent="0.3">
      <c r="A71" s="78">
        <v>4</v>
      </c>
      <c r="B71" s="78">
        <v>4</v>
      </c>
      <c r="C71" s="78">
        <v>4</v>
      </c>
      <c r="D71" s="78">
        <v>4</v>
      </c>
      <c r="E71" s="78">
        <v>4</v>
      </c>
      <c r="F71" s="78">
        <v>4</v>
      </c>
      <c r="G71" s="78">
        <v>4</v>
      </c>
      <c r="H71" s="78">
        <v>5</v>
      </c>
      <c r="I71" s="78">
        <v>5</v>
      </c>
      <c r="J71" s="172">
        <f t="shared" si="0"/>
        <v>38</v>
      </c>
    </row>
    <row r="72" spans="1:10" x14ac:dyDescent="0.3">
      <c r="A72" s="78">
        <v>3</v>
      </c>
      <c r="B72" s="78">
        <v>3</v>
      </c>
      <c r="C72" s="78">
        <v>4</v>
      </c>
      <c r="D72" s="78">
        <v>2</v>
      </c>
      <c r="E72" s="78">
        <v>3</v>
      </c>
      <c r="F72" s="78">
        <v>3</v>
      </c>
      <c r="G72" s="78">
        <v>4</v>
      </c>
      <c r="H72" s="78">
        <v>3</v>
      </c>
      <c r="I72" s="78">
        <v>3</v>
      </c>
      <c r="J72" s="172">
        <f t="shared" si="0"/>
        <v>28</v>
      </c>
    </row>
    <row r="73" spans="1:10" x14ac:dyDescent="0.3">
      <c r="A73" s="78">
        <v>4</v>
      </c>
      <c r="B73" s="78">
        <v>4</v>
      </c>
      <c r="C73" s="78">
        <v>4</v>
      </c>
      <c r="D73" s="78">
        <v>4</v>
      </c>
      <c r="E73" s="78">
        <v>4</v>
      </c>
      <c r="F73" s="78">
        <v>3</v>
      </c>
      <c r="G73" s="78">
        <v>4</v>
      </c>
      <c r="H73" s="78">
        <v>3</v>
      </c>
      <c r="I73" s="78">
        <v>3</v>
      </c>
      <c r="J73" s="172">
        <f t="shared" si="0"/>
        <v>33</v>
      </c>
    </row>
    <row r="74" spans="1:10" x14ac:dyDescent="0.3">
      <c r="A74" s="78">
        <v>4</v>
      </c>
      <c r="B74" s="78">
        <v>3</v>
      </c>
      <c r="C74" s="78">
        <v>4</v>
      </c>
      <c r="D74" s="78">
        <v>3</v>
      </c>
      <c r="E74" s="78">
        <v>3</v>
      </c>
      <c r="F74" s="78">
        <v>4</v>
      </c>
      <c r="G74" s="78">
        <v>3</v>
      </c>
      <c r="H74" s="78">
        <v>3</v>
      </c>
      <c r="I74" s="78">
        <v>3</v>
      </c>
      <c r="J74" s="172">
        <f t="shared" si="0"/>
        <v>30</v>
      </c>
    </row>
    <row r="75" spans="1:10" x14ac:dyDescent="0.3">
      <c r="A75" s="78">
        <v>4</v>
      </c>
      <c r="B75" s="78">
        <v>5</v>
      </c>
      <c r="C75" s="78">
        <v>4</v>
      </c>
      <c r="D75" s="78">
        <v>4</v>
      </c>
      <c r="E75" s="78">
        <v>5</v>
      </c>
      <c r="F75" s="78">
        <v>4</v>
      </c>
      <c r="G75" s="78">
        <v>5</v>
      </c>
      <c r="H75" s="78">
        <v>5</v>
      </c>
      <c r="I75" s="78">
        <v>4</v>
      </c>
      <c r="J75" s="172">
        <f t="shared" si="0"/>
        <v>40</v>
      </c>
    </row>
    <row r="76" spans="1:10" x14ac:dyDescent="0.3">
      <c r="A76" s="78">
        <v>3</v>
      </c>
      <c r="B76" s="78">
        <v>3</v>
      </c>
      <c r="C76" s="78">
        <v>3</v>
      </c>
      <c r="D76" s="78">
        <v>3</v>
      </c>
      <c r="E76" s="78">
        <v>4</v>
      </c>
      <c r="F76" s="78">
        <v>3</v>
      </c>
      <c r="G76" s="78">
        <v>3</v>
      </c>
      <c r="H76" s="78">
        <v>3</v>
      </c>
      <c r="I76" s="78">
        <v>3</v>
      </c>
      <c r="J76" s="172">
        <f t="shared" si="0"/>
        <v>28</v>
      </c>
    </row>
    <row r="77" spans="1:10" x14ac:dyDescent="0.3">
      <c r="A77" s="78">
        <v>3</v>
      </c>
      <c r="B77" s="78">
        <v>3</v>
      </c>
      <c r="C77" s="78">
        <v>3</v>
      </c>
      <c r="D77" s="78">
        <v>3</v>
      </c>
      <c r="E77" s="78">
        <v>3</v>
      </c>
      <c r="F77" s="78">
        <v>3</v>
      </c>
      <c r="G77" s="78">
        <v>3</v>
      </c>
      <c r="H77" s="78">
        <v>3</v>
      </c>
      <c r="I77" s="78">
        <v>3</v>
      </c>
      <c r="J77" s="172">
        <f t="shared" si="0"/>
        <v>27</v>
      </c>
    </row>
    <row r="78" spans="1:10" x14ac:dyDescent="0.3">
      <c r="A78" s="78">
        <v>3</v>
      </c>
      <c r="B78" s="78">
        <v>4</v>
      </c>
      <c r="C78" s="78">
        <v>4</v>
      </c>
      <c r="D78" s="78">
        <v>4</v>
      </c>
      <c r="E78" s="78">
        <v>4</v>
      </c>
      <c r="F78" s="78">
        <v>4</v>
      </c>
      <c r="G78" s="78">
        <v>4</v>
      </c>
      <c r="H78" s="78">
        <v>4</v>
      </c>
      <c r="I78" s="78">
        <v>4</v>
      </c>
      <c r="J78" s="172">
        <f t="shared" si="0"/>
        <v>35</v>
      </c>
    </row>
    <row r="79" spans="1:10" x14ac:dyDescent="0.3">
      <c r="A79" s="78">
        <v>4</v>
      </c>
      <c r="B79" s="78">
        <v>4</v>
      </c>
      <c r="C79" s="78">
        <v>4</v>
      </c>
      <c r="D79" s="78">
        <v>3</v>
      </c>
      <c r="E79" s="78">
        <v>4</v>
      </c>
      <c r="F79" s="78">
        <v>5</v>
      </c>
      <c r="G79" s="78">
        <v>4</v>
      </c>
      <c r="H79" s="78">
        <v>4</v>
      </c>
      <c r="I79" s="78">
        <v>4</v>
      </c>
      <c r="J79" s="172">
        <f t="shared" si="0"/>
        <v>36</v>
      </c>
    </row>
    <row r="80" spans="1:10" x14ac:dyDescent="0.3">
      <c r="A80" s="78">
        <v>4</v>
      </c>
      <c r="B80" s="78">
        <v>4</v>
      </c>
      <c r="C80" s="78">
        <v>4</v>
      </c>
      <c r="D80" s="78">
        <v>4</v>
      </c>
      <c r="E80" s="78">
        <v>3</v>
      </c>
      <c r="F80" s="78">
        <v>4</v>
      </c>
      <c r="G80" s="78">
        <v>4</v>
      </c>
      <c r="H80" s="78">
        <v>5</v>
      </c>
      <c r="I80" s="78">
        <v>4</v>
      </c>
      <c r="J80" s="172">
        <f t="shared" si="0"/>
        <v>36</v>
      </c>
    </row>
    <row r="81" spans="1:10" x14ac:dyDescent="0.3">
      <c r="A81" s="78">
        <v>3</v>
      </c>
      <c r="B81" s="78">
        <v>3</v>
      </c>
      <c r="C81" s="78">
        <v>4</v>
      </c>
      <c r="D81" s="78">
        <v>4</v>
      </c>
      <c r="E81" s="78">
        <v>3</v>
      </c>
      <c r="F81" s="78">
        <v>4</v>
      </c>
      <c r="G81" s="78">
        <v>4</v>
      </c>
      <c r="H81" s="78">
        <v>3</v>
      </c>
      <c r="I81" s="78">
        <v>3</v>
      </c>
      <c r="J81" s="172">
        <f t="shared" si="0"/>
        <v>31</v>
      </c>
    </row>
    <row r="82" spans="1:10" x14ac:dyDescent="0.3">
      <c r="A82" s="78">
        <v>3</v>
      </c>
      <c r="B82" s="78">
        <v>4</v>
      </c>
      <c r="C82" s="78">
        <v>4</v>
      </c>
      <c r="D82" s="78">
        <v>3</v>
      </c>
      <c r="E82" s="78">
        <v>3</v>
      </c>
      <c r="F82" s="78">
        <v>3</v>
      </c>
      <c r="G82" s="78">
        <v>3</v>
      </c>
      <c r="H82" s="78">
        <v>3</v>
      </c>
      <c r="I82" s="78">
        <v>4</v>
      </c>
      <c r="J82" s="172">
        <f t="shared" si="0"/>
        <v>30</v>
      </c>
    </row>
    <row r="83" spans="1:10" x14ac:dyDescent="0.3">
      <c r="A83" s="78">
        <v>3</v>
      </c>
      <c r="B83" s="78">
        <v>3</v>
      </c>
      <c r="C83" s="78">
        <v>4</v>
      </c>
      <c r="D83" s="78">
        <v>4</v>
      </c>
      <c r="E83" s="78">
        <v>3</v>
      </c>
      <c r="F83" s="78">
        <v>3</v>
      </c>
      <c r="G83" s="78">
        <v>3</v>
      </c>
      <c r="H83" s="78">
        <v>3</v>
      </c>
      <c r="I83" s="78">
        <v>2</v>
      </c>
      <c r="J83" s="172">
        <f t="shared" si="0"/>
        <v>28</v>
      </c>
    </row>
    <row r="84" spans="1:10" x14ac:dyDescent="0.3">
      <c r="A84" s="78">
        <v>3</v>
      </c>
      <c r="B84" s="78">
        <v>3</v>
      </c>
      <c r="C84" s="78">
        <v>3</v>
      </c>
      <c r="D84" s="78">
        <v>2</v>
      </c>
      <c r="E84" s="78">
        <v>3</v>
      </c>
      <c r="F84" s="78">
        <v>3</v>
      </c>
      <c r="G84" s="78">
        <v>3</v>
      </c>
      <c r="H84" s="78">
        <v>3</v>
      </c>
      <c r="I84" s="78">
        <v>3</v>
      </c>
      <c r="J84" s="172">
        <f t="shared" si="0"/>
        <v>26</v>
      </c>
    </row>
    <row r="85" spans="1:10" x14ac:dyDescent="0.3">
      <c r="A85" s="78">
        <v>4</v>
      </c>
      <c r="B85" s="78">
        <v>4</v>
      </c>
      <c r="C85" s="78">
        <v>4</v>
      </c>
      <c r="D85" s="78">
        <v>3</v>
      </c>
      <c r="E85" s="78">
        <v>4</v>
      </c>
      <c r="F85" s="78">
        <v>4</v>
      </c>
      <c r="G85" s="78">
        <v>4</v>
      </c>
      <c r="H85" s="78">
        <v>3</v>
      </c>
      <c r="I85" s="78">
        <v>4</v>
      </c>
      <c r="J85" s="172">
        <f t="shared" si="0"/>
        <v>34</v>
      </c>
    </row>
    <row r="86" spans="1:10" x14ac:dyDescent="0.3">
      <c r="A86" s="78">
        <v>4</v>
      </c>
      <c r="B86" s="78">
        <v>5</v>
      </c>
      <c r="C86" s="78">
        <v>4</v>
      </c>
      <c r="D86" s="78">
        <v>4</v>
      </c>
      <c r="E86" s="78">
        <v>4</v>
      </c>
      <c r="F86" s="78">
        <v>3</v>
      </c>
      <c r="G86" s="78">
        <v>3</v>
      </c>
      <c r="H86" s="78">
        <v>4</v>
      </c>
      <c r="I86" s="78">
        <v>4</v>
      </c>
      <c r="J86" s="172">
        <f t="shared" si="0"/>
        <v>35</v>
      </c>
    </row>
    <row r="87" spans="1:10" x14ac:dyDescent="0.3">
      <c r="A87" s="78">
        <v>4</v>
      </c>
      <c r="B87" s="78">
        <v>4</v>
      </c>
      <c r="C87" s="78">
        <v>4</v>
      </c>
      <c r="D87" s="78">
        <v>4</v>
      </c>
      <c r="E87" s="78">
        <v>4</v>
      </c>
      <c r="F87" s="78">
        <v>4</v>
      </c>
      <c r="G87" s="78">
        <v>4</v>
      </c>
      <c r="H87" s="78">
        <v>4</v>
      </c>
      <c r="I87" s="78">
        <v>4</v>
      </c>
      <c r="J87" s="172">
        <f t="shared" si="0"/>
        <v>36</v>
      </c>
    </row>
    <row r="88" spans="1:10" x14ac:dyDescent="0.3">
      <c r="A88" s="78">
        <v>3</v>
      </c>
      <c r="B88" s="78">
        <v>3</v>
      </c>
      <c r="C88" s="78">
        <v>3</v>
      </c>
      <c r="D88" s="78">
        <v>3</v>
      </c>
      <c r="E88" s="78">
        <v>3</v>
      </c>
      <c r="F88" s="78">
        <v>4</v>
      </c>
      <c r="G88" s="78">
        <v>3</v>
      </c>
      <c r="H88" s="78">
        <v>3</v>
      </c>
      <c r="I88" s="78">
        <v>4</v>
      </c>
      <c r="J88" s="172">
        <f t="shared" si="0"/>
        <v>29</v>
      </c>
    </row>
  </sheetData>
  <mergeCells count="26">
    <mergeCell ref="AD4:AG4"/>
    <mergeCell ref="AD5:AE5"/>
    <mergeCell ref="AD6:AD8"/>
    <mergeCell ref="AD9:AG9"/>
    <mergeCell ref="AF11:AG11"/>
    <mergeCell ref="K3:K5"/>
    <mergeCell ref="AB2:AB3"/>
    <mergeCell ref="K6:K8"/>
    <mergeCell ref="K9:K11"/>
    <mergeCell ref="K12:K14"/>
    <mergeCell ref="A37:J37"/>
    <mergeCell ref="X1:AB1"/>
    <mergeCell ref="K33:V33"/>
    <mergeCell ref="K34:V34"/>
    <mergeCell ref="X2:X3"/>
    <mergeCell ref="Y2:Y3"/>
    <mergeCell ref="Z2:Z3"/>
    <mergeCell ref="AA2:AA3"/>
    <mergeCell ref="K15:K17"/>
    <mergeCell ref="K18:K20"/>
    <mergeCell ref="K21:K23"/>
    <mergeCell ref="K24:K26"/>
    <mergeCell ref="K27:K29"/>
    <mergeCell ref="K30:K32"/>
    <mergeCell ref="K1:V1"/>
    <mergeCell ref="K2:L2"/>
  </mergeCells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1EF6-39BA-4047-B136-9845685DDF4A}">
  <dimension ref="A1:AC77"/>
  <sheetViews>
    <sheetView tabSelected="1" topLeftCell="A53" workbookViewId="0">
      <selection activeCell="G27" sqref="G27:G77"/>
    </sheetView>
  </sheetViews>
  <sheetFormatPr defaultRowHeight="14.4" x14ac:dyDescent="0.3"/>
  <cols>
    <col min="19" max="19" width="13" customWidth="1"/>
    <col min="20" max="20" width="17.6640625" customWidth="1"/>
    <col min="22" max="22" width="15.33203125" customWidth="1"/>
    <col min="23" max="23" width="12.88671875" customWidth="1"/>
    <col min="27" max="27" width="12.5546875" customWidth="1"/>
    <col min="28" max="28" width="10.6640625" customWidth="1"/>
  </cols>
  <sheetData>
    <row r="1" spans="9:29" ht="15.6" x14ac:dyDescent="0.3">
      <c r="I1" s="261" t="s">
        <v>28</v>
      </c>
      <c r="J1" s="261"/>
      <c r="K1" s="261"/>
      <c r="L1" s="261"/>
      <c r="M1" s="261"/>
      <c r="N1" s="261"/>
      <c r="O1" s="261"/>
      <c r="P1" s="261"/>
      <c r="Q1" s="261"/>
      <c r="R1" s="35"/>
      <c r="S1" s="235" t="s">
        <v>221</v>
      </c>
      <c r="T1" s="249"/>
      <c r="U1" s="249"/>
      <c r="V1" s="249"/>
      <c r="W1" s="249"/>
    </row>
    <row r="2" spans="9:29" ht="14.4" customHeight="1" x14ac:dyDescent="0.3">
      <c r="I2" s="262" t="s">
        <v>27</v>
      </c>
      <c r="J2" s="262"/>
      <c r="K2" s="190" t="s">
        <v>176</v>
      </c>
      <c r="L2" s="190" t="s">
        <v>177</v>
      </c>
      <c r="M2" s="190" t="s">
        <v>178</v>
      </c>
      <c r="N2" s="190" t="s">
        <v>179</v>
      </c>
      <c r="O2" s="190" t="s">
        <v>180</v>
      </c>
      <c r="P2" s="190" t="s">
        <v>181</v>
      </c>
      <c r="Q2" s="190" t="s">
        <v>41</v>
      </c>
      <c r="R2" s="35"/>
      <c r="S2" s="234" t="s">
        <v>47</v>
      </c>
      <c r="T2" s="233" t="s">
        <v>50</v>
      </c>
      <c r="U2" s="234" t="s">
        <v>51</v>
      </c>
      <c r="V2" s="234" t="s">
        <v>52</v>
      </c>
      <c r="W2" s="234" t="s">
        <v>48</v>
      </c>
    </row>
    <row r="3" spans="9:29" ht="30.6" customHeight="1" x14ac:dyDescent="0.3">
      <c r="I3" s="260" t="s">
        <v>176</v>
      </c>
      <c r="J3" s="191" t="s">
        <v>42</v>
      </c>
      <c r="K3" s="192">
        <v>1</v>
      </c>
      <c r="L3" s="193">
        <v>4.3852900965351466E-2</v>
      </c>
      <c r="M3" s="194" t="s">
        <v>182</v>
      </c>
      <c r="N3" s="193">
        <v>0.26964592872059745</v>
      </c>
      <c r="O3" s="193">
        <v>0.24059355468124005</v>
      </c>
      <c r="P3" s="194" t="s">
        <v>183</v>
      </c>
      <c r="Q3" s="194" t="s">
        <v>184</v>
      </c>
      <c r="R3" s="35"/>
      <c r="S3" s="234"/>
      <c r="T3" s="233"/>
      <c r="U3" s="234"/>
      <c r="V3" s="234"/>
      <c r="W3" s="234"/>
    </row>
    <row r="4" spans="9:29" ht="22.8" x14ac:dyDescent="0.3">
      <c r="I4" s="260"/>
      <c r="J4" s="191" t="s">
        <v>43</v>
      </c>
      <c r="K4" s="195"/>
      <c r="L4" s="193">
        <v>0.76235527350574039</v>
      </c>
      <c r="M4" s="193">
        <v>3.0131440705597982E-2</v>
      </c>
      <c r="N4" s="193">
        <v>5.8264657416531543E-2</v>
      </c>
      <c r="O4" s="193">
        <v>9.2366134569707325E-2</v>
      </c>
      <c r="P4" s="193">
        <v>3.4844647469429772E-2</v>
      </c>
      <c r="Q4" s="193">
        <v>1.4363857810569176E-5</v>
      </c>
      <c r="R4" s="35"/>
      <c r="S4" s="1" t="s">
        <v>195</v>
      </c>
      <c r="T4" s="44" t="s">
        <v>201</v>
      </c>
      <c r="U4" s="2">
        <v>0.36099999999999999</v>
      </c>
      <c r="V4" s="1">
        <v>0</v>
      </c>
      <c r="W4" s="1" t="s">
        <v>49</v>
      </c>
    </row>
    <row r="5" spans="9:29" ht="18.600000000000001" customHeight="1" x14ac:dyDescent="0.3">
      <c r="I5" s="260"/>
      <c r="J5" s="191" t="s">
        <v>44</v>
      </c>
      <c r="K5" s="192">
        <v>50</v>
      </c>
      <c r="L5" s="192">
        <v>50</v>
      </c>
      <c r="M5" s="192">
        <v>50</v>
      </c>
      <c r="N5" s="192">
        <v>50</v>
      </c>
      <c r="O5" s="192">
        <v>50</v>
      </c>
      <c r="P5" s="192">
        <v>50</v>
      </c>
      <c r="Q5" s="192">
        <v>50</v>
      </c>
      <c r="R5" s="35"/>
      <c r="S5" s="1" t="s">
        <v>196</v>
      </c>
      <c r="T5" s="44" t="s">
        <v>202</v>
      </c>
      <c r="U5" s="2">
        <v>0.36099999999999999</v>
      </c>
      <c r="V5" s="1">
        <v>0</v>
      </c>
      <c r="W5" s="1" t="s">
        <v>49</v>
      </c>
      <c r="Y5" s="264" t="s">
        <v>206</v>
      </c>
      <c r="Z5" s="264"/>
      <c r="AA5" s="264"/>
      <c r="AB5" s="264"/>
      <c r="AC5" s="35"/>
    </row>
    <row r="6" spans="9:29" ht="22.8" x14ac:dyDescent="0.3">
      <c r="I6" s="260" t="s">
        <v>177</v>
      </c>
      <c r="J6" s="191" t="s">
        <v>42</v>
      </c>
      <c r="K6" s="193">
        <v>4.3852900965351466E-2</v>
      </c>
      <c r="L6" s="192">
        <v>1</v>
      </c>
      <c r="M6" s="193">
        <v>0.15</v>
      </c>
      <c r="N6" s="194" t="s">
        <v>185</v>
      </c>
      <c r="O6" s="194" t="s">
        <v>186</v>
      </c>
      <c r="P6" s="194" t="s">
        <v>187</v>
      </c>
      <c r="Q6" s="194" t="s">
        <v>188</v>
      </c>
      <c r="R6" s="35"/>
      <c r="S6" s="1" t="s">
        <v>197</v>
      </c>
      <c r="T6" s="44" t="s">
        <v>202</v>
      </c>
      <c r="U6" s="2">
        <v>0.36099999999999999</v>
      </c>
      <c r="V6" s="1">
        <v>0</v>
      </c>
      <c r="W6" s="1" t="s">
        <v>49</v>
      </c>
      <c r="Y6" s="265" t="s">
        <v>27</v>
      </c>
      <c r="Z6" s="265"/>
      <c r="AA6" s="36" t="s">
        <v>44</v>
      </c>
      <c r="AB6" s="37" t="s">
        <v>207</v>
      </c>
      <c r="AC6" s="35"/>
    </row>
    <row r="7" spans="9:29" ht="22.8" x14ac:dyDescent="0.3">
      <c r="I7" s="260"/>
      <c r="J7" s="191" t="s">
        <v>43</v>
      </c>
      <c r="K7" s="193">
        <v>0.76235527350574039</v>
      </c>
      <c r="L7" s="195"/>
      <c r="M7" s="193">
        <v>0.29846538976670445</v>
      </c>
      <c r="N7" s="193">
        <v>1.2348650367678616E-2</v>
      </c>
      <c r="O7" s="193">
        <v>8.9992605796219462E-3</v>
      </c>
      <c r="P7" s="193">
        <v>2.6014848145695657E-3</v>
      </c>
      <c r="Q7" s="193">
        <v>5.478176432328739E-6</v>
      </c>
      <c r="R7" s="35"/>
      <c r="S7" s="1" t="s">
        <v>198</v>
      </c>
      <c r="T7" s="44" t="s">
        <v>203</v>
      </c>
      <c r="U7" s="2">
        <v>0.36099999999999999</v>
      </c>
      <c r="V7" s="1">
        <v>0</v>
      </c>
      <c r="W7" s="1" t="s">
        <v>49</v>
      </c>
      <c r="Y7" s="266" t="s">
        <v>208</v>
      </c>
      <c r="Z7" s="38" t="s">
        <v>49</v>
      </c>
      <c r="AA7" s="39">
        <v>50</v>
      </c>
      <c r="AB7" s="53">
        <v>100</v>
      </c>
      <c r="AC7" s="35"/>
    </row>
    <row r="8" spans="9:29" ht="18.600000000000001" customHeight="1" x14ac:dyDescent="0.3">
      <c r="I8" s="260"/>
      <c r="J8" s="191" t="s">
        <v>44</v>
      </c>
      <c r="K8" s="192">
        <v>50</v>
      </c>
      <c r="L8" s="192">
        <v>50</v>
      </c>
      <c r="M8" s="192">
        <v>50</v>
      </c>
      <c r="N8" s="192">
        <v>50</v>
      </c>
      <c r="O8" s="192">
        <v>50</v>
      </c>
      <c r="P8" s="192">
        <v>50</v>
      </c>
      <c r="Q8" s="192">
        <v>50</v>
      </c>
      <c r="R8" s="35"/>
      <c r="S8" s="1" t="s">
        <v>199</v>
      </c>
      <c r="T8" s="44" t="s">
        <v>204</v>
      </c>
      <c r="U8" s="2">
        <v>0.36099999999999999</v>
      </c>
      <c r="V8" s="1">
        <v>0</v>
      </c>
      <c r="W8" s="1" t="s">
        <v>49</v>
      </c>
      <c r="Y8" s="267"/>
      <c r="Z8" s="40" t="s">
        <v>210</v>
      </c>
      <c r="AA8" s="54">
        <v>0</v>
      </c>
      <c r="AB8" s="55">
        <v>0</v>
      </c>
      <c r="AC8" s="35"/>
    </row>
    <row r="9" spans="9:29" ht="22.8" x14ac:dyDescent="0.3">
      <c r="I9" s="260" t="s">
        <v>178</v>
      </c>
      <c r="J9" s="191" t="s">
        <v>42</v>
      </c>
      <c r="K9" s="194" t="s">
        <v>182</v>
      </c>
      <c r="L9" s="193">
        <v>0.15</v>
      </c>
      <c r="M9" s="192">
        <v>1</v>
      </c>
      <c r="N9" s="194" t="s">
        <v>185</v>
      </c>
      <c r="O9" s="193">
        <v>0.2285990487373297</v>
      </c>
      <c r="P9" s="194" t="s">
        <v>189</v>
      </c>
      <c r="Q9" s="194" t="s">
        <v>188</v>
      </c>
      <c r="R9" s="35"/>
      <c r="S9" s="1" t="s">
        <v>200</v>
      </c>
      <c r="T9" s="44" t="s">
        <v>205</v>
      </c>
      <c r="U9" s="2">
        <v>0.36099999999999999</v>
      </c>
      <c r="V9" s="1">
        <v>0</v>
      </c>
      <c r="W9" s="1" t="s">
        <v>49</v>
      </c>
      <c r="Y9" s="268"/>
      <c r="Z9" s="41" t="s">
        <v>152</v>
      </c>
      <c r="AA9" s="42">
        <v>50</v>
      </c>
      <c r="AB9" s="56">
        <v>100</v>
      </c>
      <c r="AC9" s="35"/>
    </row>
    <row r="10" spans="9:29" ht="22.8" x14ac:dyDescent="0.3">
      <c r="I10" s="260"/>
      <c r="J10" s="191" t="s">
        <v>43</v>
      </c>
      <c r="K10" s="193">
        <v>3.0131440705597982E-2</v>
      </c>
      <c r="L10" s="193">
        <v>0.29846538976670445</v>
      </c>
      <c r="M10" s="195"/>
      <c r="N10" s="193">
        <v>1.2348650367678616E-2</v>
      </c>
      <c r="O10" s="193">
        <v>0.11031497185690642</v>
      </c>
      <c r="P10" s="193">
        <v>3.2352112593004911E-2</v>
      </c>
      <c r="Q10" s="193">
        <v>5.4781764323287779E-6</v>
      </c>
      <c r="R10" s="35"/>
      <c r="S10" s="31"/>
      <c r="T10" s="43"/>
      <c r="U10" s="33"/>
      <c r="V10" s="31"/>
      <c r="W10" s="31"/>
      <c r="Y10" s="269" t="s">
        <v>209</v>
      </c>
      <c r="Z10" s="269"/>
      <c r="AA10" s="269"/>
      <c r="AB10" s="269"/>
      <c r="AC10" s="35"/>
    </row>
    <row r="11" spans="9:29" ht="15.6" x14ac:dyDescent="0.3">
      <c r="I11" s="260"/>
      <c r="J11" s="191" t="s">
        <v>44</v>
      </c>
      <c r="K11" s="192">
        <v>50</v>
      </c>
      <c r="L11" s="192">
        <v>50</v>
      </c>
      <c r="M11" s="192">
        <v>50</v>
      </c>
      <c r="N11" s="192">
        <v>50</v>
      </c>
      <c r="O11" s="192">
        <v>50</v>
      </c>
      <c r="P11" s="192">
        <v>50</v>
      </c>
      <c r="Q11" s="192">
        <v>50</v>
      </c>
      <c r="R11" s="35"/>
      <c r="S11" s="31"/>
      <c r="T11" s="43"/>
      <c r="U11" s="33"/>
      <c r="V11" s="31"/>
      <c r="W11" s="31"/>
    </row>
    <row r="12" spans="9:29" ht="22.8" x14ac:dyDescent="0.3">
      <c r="I12" s="260" t="s">
        <v>179</v>
      </c>
      <c r="J12" s="191" t="s">
        <v>42</v>
      </c>
      <c r="K12" s="193">
        <v>0.26964592872059745</v>
      </c>
      <c r="L12" s="194" t="s">
        <v>185</v>
      </c>
      <c r="M12" s="194" t="s">
        <v>185</v>
      </c>
      <c r="N12" s="192">
        <v>1</v>
      </c>
      <c r="O12" s="194" t="s">
        <v>190</v>
      </c>
      <c r="P12" s="194" t="s">
        <v>156</v>
      </c>
      <c r="Q12" s="194" t="s">
        <v>191</v>
      </c>
      <c r="R12" s="35"/>
      <c r="S12" s="31"/>
      <c r="T12" s="43"/>
      <c r="U12" s="33"/>
      <c r="V12" s="31"/>
      <c r="W12" s="31"/>
      <c r="AA12" s="261" t="s">
        <v>211</v>
      </c>
      <c r="AB12" s="261"/>
      <c r="AC12" s="35"/>
    </row>
    <row r="13" spans="9:29" ht="24" x14ac:dyDescent="0.3">
      <c r="I13" s="260"/>
      <c r="J13" s="191" t="s">
        <v>43</v>
      </c>
      <c r="K13" s="193">
        <v>5.8264657416531543E-2</v>
      </c>
      <c r="L13" s="193">
        <v>1.2348650367678616E-2</v>
      </c>
      <c r="M13" s="193">
        <v>1.2348650367678616E-2</v>
      </c>
      <c r="N13" s="195"/>
      <c r="O13" s="193">
        <v>3.5446771697918524E-3</v>
      </c>
      <c r="P13" s="193">
        <v>3.2100933236641441E-2</v>
      </c>
      <c r="Q13" s="193">
        <v>1.9164571268407204E-8</v>
      </c>
      <c r="R13" s="35"/>
      <c r="S13" s="31"/>
      <c r="T13" s="32"/>
      <c r="U13" s="33"/>
      <c r="V13" s="31"/>
      <c r="W13" s="31"/>
      <c r="AA13" s="190" t="s">
        <v>212</v>
      </c>
      <c r="AB13" s="190" t="s">
        <v>213</v>
      </c>
      <c r="AC13" s="35"/>
    </row>
    <row r="14" spans="9:29" ht="15.6" x14ac:dyDescent="0.3">
      <c r="I14" s="260"/>
      <c r="J14" s="191" t="s">
        <v>44</v>
      </c>
      <c r="K14" s="192">
        <v>50</v>
      </c>
      <c r="L14" s="192">
        <v>50</v>
      </c>
      <c r="M14" s="192">
        <v>50</v>
      </c>
      <c r="N14" s="192">
        <v>50</v>
      </c>
      <c r="O14" s="192">
        <v>50</v>
      </c>
      <c r="P14" s="192">
        <v>50</v>
      </c>
      <c r="Q14" s="192">
        <v>50</v>
      </c>
      <c r="R14" s="35"/>
      <c r="S14" s="31"/>
      <c r="T14" s="32"/>
      <c r="U14" s="33"/>
      <c r="V14" s="31"/>
      <c r="W14" s="31"/>
      <c r="AA14" s="193">
        <v>0.70980966325037531</v>
      </c>
      <c r="AB14" s="192">
        <v>6</v>
      </c>
      <c r="AC14" s="35"/>
    </row>
    <row r="15" spans="9:29" ht="22.8" x14ac:dyDescent="0.3">
      <c r="I15" s="260" t="s">
        <v>180</v>
      </c>
      <c r="J15" s="191" t="s">
        <v>42</v>
      </c>
      <c r="K15" s="193">
        <v>0.24059355468124005</v>
      </c>
      <c r="L15" s="194" t="s">
        <v>186</v>
      </c>
      <c r="M15" s="193">
        <v>0.2285990487373297</v>
      </c>
      <c r="N15" s="194" t="s">
        <v>190</v>
      </c>
      <c r="O15" s="192">
        <v>1</v>
      </c>
      <c r="P15" s="194" t="s">
        <v>192</v>
      </c>
      <c r="Q15" s="194" t="s">
        <v>193</v>
      </c>
      <c r="R15" s="35"/>
      <c r="S15" s="31"/>
      <c r="T15" s="32"/>
      <c r="U15" s="33"/>
      <c r="V15" s="31"/>
      <c r="W15" s="31"/>
    </row>
    <row r="16" spans="9:29" ht="22.8" x14ac:dyDescent="0.3">
      <c r="I16" s="260"/>
      <c r="J16" s="191" t="s">
        <v>43</v>
      </c>
      <c r="K16" s="193">
        <v>9.2366134569707325E-2</v>
      </c>
      <c r="L16" s="193">
        <v>8.9992605796219462E-3</v>
      </c>
      <c r="M16" s="193">
        <v>0.11031497185690642</v>
      </c>
      <c r="N16" s="193">
        <v>3.5446771697918524E-3</v>
      </c>
      <c r="O16" s="195"/>
      <c r="P16" s="193">
        <v>2.9725586019832884E-2</v>
      </c>
      <c r="Q16" s="193">
        <v>1.9794634006008818E-7</v>
      </c>
      <c r="R16" s="35"/>
    </row>
    <row r="17" spans="1:18" x14ac:dyDescent="0.3">
      <c r="I17" s="260"/>
      <c r="J17" s="191" t="s">
        <v>44</v>
      </c>
      <c r="K17" s="192">
        <v>50</v>
      </c>
      <c r="L17" s="192">
        <v>50</v>
      </c>
      <c r="M17" s="192">
        <v>50</v>
      </c>
      <c r="N17" s="192">
        <v>50</v>
      </c>
      <c r="O17" s="192">
        <v>50</v>
      </c>
      <c r="P17" s="192">
        <v>50</v>
      </c>
      <c r="Q17" s="192">
        <v>50</v>
      </c>
      <c r="R17" s="35"/>
    </row>
    <row r="18" spans="1:18" ht="22.8" x14ac:dyDescent="0.3">
      <c r="I18" s="260" t="s">
        <v>181</v>
      </c>
      <c r="J18" s="191" t="s">
        <v>42</v>
      </c>
      <c r="K18" s="194" t="s">
        <v>183</v>
      </c>
      <c r="L18" s="194" t="s">
        <v>187</v>
      </c>
      <c r="M18" s="194" t="s">
        <v>189</v>
      </c>
      <c r="N18" s="194" t="s">
        <v>156</v>
      </c>
      <c r="O18" s="194" t="s">
        <v>192</v>
      </c>
      <c r="P18" s="192">
        <v>1</v>
      </c>
      <c r="Q18" s="194" t="s">
        <v>194</v>
      </c>
      <c r="R18" s="35"/>
    </row>
    <row r="19" spans="1:18" ht="22.8" x14ac:dyDescent="0.3">
      <c r="I19" s="260"/>
      <c r="J19" s="191" t="s">
        <v>43</v>
      </c>
      <c r="K19" s="193">
        <v>3.4844647469429772E-2</v>
      </c>
      <c r="L19" s="193">
        <v>2.6014848145695657E-3</v>
      </c>
      <c r="M19" s="193">
        <v>3.2352112593004911E-2</v>
      </c>
      <c r="N19" s="193">
        <v>3.2100933236641441E-2</v>
      </c>
      <c r="O19" s="193">
        <v>2.9725586019832884E-2</v>
      </c>
      <c r="P19" s="195"/>
      <c r="Q19" s="193">
        <v>6.1918335172520858E-9</v>
      </c>
      <c r="R19" s="35"/>
    </row>
    <row r="20" spans="1:18" x14ac:dyDescent="0.3">
      <c r="I20" s="260"/>
      <c r="J20" s="191" t="s">
        <v>44</v>
      </c>
      <c r="K20" s="192">
        <v>50</v>
      </c>
      <c r="L20" s="192">
        <v>50</v>
      </c>
      <c r="M20" s="192">
        <v>50</v>
      </c>
      <c r="N20" s="192">
        <v>50</v>
      </c>
      <c r="O20" s="192">
        <v>50</v>
      </c>
      <c r="P20" s="192">
        <v>50</v>
      </c>
      <c r="Q20" s="192">
        <v>50</v>
      </c>
      <c r="R20" s="35"/>
    </row>
    <row r="21" spans="1:18" ht="22.8" x14ac:dyDescent="0.3">
      <c r="I21" s="260" t="s">
        <v>41</v>
      </c>
      <c r="J21" s="191" t="s">
        <v>42</v>
      </c>
      <c r="K21" s="194" t="s">
        <v>184</v>
      </c>
      <c r="L21" s="194" t="s">
        <v>188</v>
      </c>
      <c r="M21" s="194" t="s">
        <v>188</v>
      </c>
      <c r="N21" s="194" t="s">
        <v>191</v>
      </c>
      <c r="O21" s="194" t="s">
        <v>193</v>
      </c>
      <c r="P21" s="194" t="s">
        <v>194</v>
      </c>
      <c r="Q21" s="192">
        <v>1</v>
      </c>
      <c r="R21" s="35"/>
    </row>
    <row r="22" spans="1:18" ht="22.8" x14ac:dyDescent="0.3">
      <c r="I22" s="260"/>
      <c r="J22" s="191" t="s">
        <v>43</v>
      </c>
      <c r="K22" s="193">
        <v>1.4363857810569176E-5</v>
      </c>
      <c r="L22" s="193">
        <v>5.478176432328739E-6</v>
      </c>
      <c r="M22" s="193">
        <v>5.4781764323287779E-6</v>
      </c>
      <c r="N22" s="193">
        <v>1.9164571268407204E-8</v>
      </c>
      <c r="O22" s="193">
        <v>1.9794634006008818E-7</v>
      </c>
      <c r="P22" s="193">
        <v>6.1918335172520858E-9</v>
      </c>
      <c r="Q22" s="195"/>
      <c r="R22" s="35"/>
    </row>
    <row r="23" spans="1:18" x14ac:dyDescent="0.3">
      <c r="I23" s="260"/>
      <c r="J23" s="191" t="s">
        <v>44</v>
      </c>
      <c r="K23" s="192">
        <v>50</v>
      </c>
      <c r="L23" s="192">
        <v>50</v>
      </c>
      <c r="M23" s="192">
        <v>50</v>
      </c>
      <c r="N23" s="192">
        <v>50</v>
      </c>
      <c r="O23" s="192">
        <v>50</v>
      </c>
      <c r="P23" s="192">
        <v>50</v>
      </c>
      <c r="Q23" s="192">
        <v>50</v>
      </c>
      <c r="R23" s="35"/>
    </row>
    <row r="24" spans="1:18" x14ac:dyDescent="0.3">
      <c r="I24" s="263" t="s">
        <v>46</v>
      </c>
      <c r="J24" s="263"/>
      <c r="K24" s="263"/>
      <c r="L24" s="263"/>
      <c r="M24" s="263"/>
      <c r="N24" s="263"/>
      <c r="O24" s="263"/>
      <c r="P24" s="263"/>
      <c r="Q24" s="263"/>
      <c r="R24" s="35"/>
    </row>
    <row r="25" spans="1:18" x14ac:dyDescent="0.3">
      <c r="I25" s="263" t="s">
        <v>45</v>
      </c>
      <c r="J25" s="263"/>
      <c r="K25" s="263"/>
      <c r="L25" s="263"/>
      <c r="M25" s="263"/>
      <c r="N25" s="263"/>
      <c r="O25" s="263"/>
      <c r="P25" s="263"/>
      <c r="Q25" s="263"/>
      <c r="R25" s="35"/>
    </row>
    <row r="26" spans="1:18" ht="15.6" x14ac:dyDescent="0.3">
      <c r="A26" s="247" t="s">
        <v>304</v>
      </c>
      <c r="B26" s="248"/>
      <c r="C26" s="248"/>
      <c r="D26" s="248"/>
      <c r="E26" s="248"/>
      <c r="F26" s="248"/>
      <c r="G26" s="248"/>
    </row>
    <row r="27" spans="1:18" x14ac:dyDescent="0.3">
      <c r="A27" s="173" t="s">
        <v>21</v>
      </c>
      <c r="B27" s="173" t="s">
        <v>22</v>
      </c>
      <c r="C27" s="173" t="s">
        <v>23</v>
      </c>
      <c r="D27" s="173" t="s">
        <v>24</v>
      </c>
      <c r="E27" s="173" t="s">
        <v>25</v>
      </c>
      <c r="F27" s="173" t="s">
        <v>26</v>
      </c>
      <c r="G27" s="174" t="s">
        <v>41</v>
      </c>
    </row>
    <row r="28" spans="1:18" x14ac:dyDescent="0.3">
      <c r="A28" s="78">
        <v>4</v>
      </c>
      <c r="B28" s="78">
        <v>4</v>
      </c>
      <c r="C28" s="78">
        <v>4</v>
      </c>
      <c r="D28" s="78">
        <v>3</v>
      </c>
      <c r="E28" s="78">
        <v>3</v>
      </c>
      <c r="F28" s="78">
        <v>4</v>
      </c>
      <c r="G28" s="172">
        <f>SUM(A28:F28)</f>
        <v>22</v>
      </c>
    </row>
    <row r="29" spans="1:18" x14ac:dyDescent="0.3">
      <c r="A29" s="78">
        <v>4</v>
      </c>
      <c r="B29" s="78">
        <v>4</v>
      </c>
      <c r="C29" s="78">
        <v>4</v>
      </c>
      <c r="D29" s="78">
        <v>3</v>
      </c>
      <c r="E29" s="78">
        <v>4</v>
      </c>
      <c r="F29" s="78">
        <v>5</v>
      </c>
      <c r="G29" s="172">
        <f t="shared" ref="G29:G77" si="0">SUM(A29:F29)</f>
        <v>24</v>
      </c>
    </row>
    <row r="30" spans="1:18" x14ac:dyDescent="0.3">
      <c r="A30" s="78">
        <v>4</v>
      </c>
      <c r="B30" s="78">
        <v>3</v>
      </c>
      <c r="C30" s="78">
        <v>4</v>
      </c>
      <c r="D30" s="78">
        <v>4</v>
      </c>
      <c r="E30" s="78">
        <v>5</v>
      </c>
      <c r="F30" s="78">
        <v>4</v>
      </c>
      <c r="G30" s="172">
        <f t="shared" si="0"/>
        <v>24</v>
      </c>
    </row>
    <row r="31" spans="1:18" x14ac:dyDescent="0.3">
      <c r="A31" s="78">
        <v>5</v>
      </c>
      <c r="B31" s="78">
        <v>5</v>
      </c>
      <c r="C31" s="78">
        <v>4</v>
      </c>
      <c r="D31" s="78">
        <v>5</v>
      </c>
      <c r="E31" s="78">
        <v>5</v>
      </c>
      <c r="F31" s="78">
        <v>5</v>
      </c>
      <c r="G31" s="172">
        <f t="shared" si="0"/>
        <v>29</v>
      </c>
    </row>
    <row r="32" spans="1:18" x14ac:dyDescent="0.3">
      <c r="A32" s="78">
        <v>4</v>
      </c>
      <c r="B32" s="78">
        <v>5</v>
      </c>
      <c r="C32" s="78">
        <v>4</v>
      </c>
      <c r="D32" s="78">
        <v>4</v>
      </c>
      <c r="E32" s="78">
        <v>5</v>
      </c>
      <c r="F32" s="78">
        <v>4</v>
      </c>
      <c r="G32" s="172">
        <f t="shared" si="0"/>
        <v>26</v>
      </c>
    </row>
    <row r="33" spans="1:7" x14ac:dyDescent="0.3">
      <c r="A33" s="78">
        <v>4</v>
      </c>
      <c r="B33" s="78">
        <v>4</v>
      </c>
      <c r="C33" s="78">
        <v>4</v>
      </c>
      <c r="D33" s="78">
        <v>3</v>
      </c>
      <c r="E33" s="78">
        <v>4</v>
      </c>
      <c r="F33" s="78">
        <v>3</v>
      </c>
      <c r="G33" s="172">
        <f t="shared" si="0"/>
        <v>22</v>
      </c>
    </row>
    <row r="34" spans="1:7" x14ac:dyDescent="0.3">
      <c r="A34" s="78">
        <v>5</v>
      </c>
      <c r="B34" s="78">
        <v>5</v>
      </c>
      <c r="C34" s="78">
        <v>5</v>
      </c>
      <c r="D34" s="78">
        <v>5</v>
      </c>
      <c r="E34" s="78">
        <v>4</v>
      </c>
      <c r="F34" s="78">
        <v>5</v>
      </c>
      <c r="G34" s="172">
        <f t="shared" si="0"/>
        <v>29</v>
      </c>
    </row>
    <row r="35" spans="1:7" x14ac:dyDescent="0.3">
      <c r="A35" s="78">
        <v>4</v>
      </c>
      <c r="B35" s="78">
        <v>5</v>
      </c>
      <c r="C35" s="78">
        <v>4</v>
      </c>
      <c r="D35" s="78">
        <v>5</v>
      </c>
      <c r="E35" s="78">
        <v>5</v>
      </c>
      <c r="F35" s="78">
        <v>5</v>
      </c>
      <c r="G35" s="172">
        <f t="shared" si="0"/>
        <v>28</v>
      </c>
    </row>
    <row r="36" spans="1:7" x14ac:dyDescent="0.3">
      <c r="A36" s="78">
        <v>3</v>
      </c>
      <c r="B36" s="78">
        <v>4</v>
      </c>
      <c r="C36" s="78">
        <v>5</v>
      </c>
      <c r="D36" s="78">
        <v>3</v>
      </c>
      <c r="E36" s="78">
        <v>4</v>
      </c>
      <c r="F36" s="78">
        <v>5</v>
      </c>
      <c r="G36" s="172">
        <f t="shared" si="0"/>
        <v>24</v>
      </c>
    </row>
    <row r="37" spans="1:7" x14ac:dyDescent="0.3">
      <c r="A37" s="78">
        <v>5</v>
      </c>
      <c r="B37" s="78">
        <v>4</v>
      </c>
      <c r="C37" s="78">
        <v>5</v>
      </c>
      <c r="D37" s="78">
        <v>5</v>
      </c>
      <c r="E37" s="78">
        <v>4</v>
      </c>
      <c r="F37" s="78">
        <v>5</v>
      </c>
      <c r="G37" s="172">
        <f t="shared" si="0"/>
        <v>28</v>
      </c>
    </row>
    <row r="38" spans="1:7" x14ac:dyDescent="0.3">
      <c r="A38" s="78">
        <v>3</v>
      </c>
      <c r="B38" s="78">
        <v>4</v>
      </c>
      <c r="C38" s="78">
        <v>3</v>
      </c>
      <c r="D38" s="78">
        <v>3</v>
      </c>
      <c r="E38" s="78">
        <v>4</v>
      </c>
      <c r="F38" s="78">
        <v>3</v>
      </c>
      <c r="G38" s="172">
        <f t="shared" si="0"/>
        <v>20</v>
      </c>
    </row>
    <row r="39" spans="1:7" x14ac:dyDescent="0.3">
      <c r="A39" s="78">
        <v>4</v>
      </c>
      <c r="B39" s="78">
        <v>4</v>
      </c>
      <c r="C39" s="78">
        <v>4</v>
      </c>
      <c r="D39" s="78">
        <v>4</v>
      </c>
      <c r="E39" s="78">
        <v>4</v>
      </c>
      <c r="F39" s="78">
        <v>3</v>
      </c>
      <c r="G39" s="172">
        <f t="shared" si="0"/>
        <v>23</v>
      </c>
    </row>
    <row r="40" spans="1:7" x14ac:dyDescent="0.3">
      <c r="A40" s="78">
        <v>4</v>
      </c>
      <c r="B40" s="78">
        <v>4</v>
      </c>
      <c r="C40" s="78">
        <v>5</v>
      </c>
      <c r="D40" s="78">
        <v>4</v>
      </c>
      <c r="E40" s="78">
        <v>4</v>
      </c>
      <c r="F40" s="78">
        <v>4</v>
      </c>
      <c r="G40" s="172">
        <f t="shared" si="0"/>
        <v>25</v>
      </c>
    </row>
    <row r="41" spans="1:7" x14ac:dyDescent="0.3">
      <c r="A41" s="78">
        <v>4</v>
      </c>
      <c r="B41" s="78">
        <v>3</v>
      </c>
      <c r="C41" s="78">
        <v>4</v>
      </c>
      <c r="D41" s="78">
        <v>3</v>
      </c>
      <c r="E41" s="78">
        <v>5</v>
      </c>
      <c r="F41" s="78">
        <v>3</v>
      </c>
      <c r="G41" s="172">
        <f t="shared" si="0"/>
        <v>22</v>
      </c>
    </row>
    <row r="42" spans="1:7" x14ac:dyDescent="0.3">
      <c r="A42" s="78">
        <v>3</v>
      </c>
      <c r="B42" s="78">
        <v>4</v>
      </c>
      <c r="C42" s="78">
        <v>4</v>
      </c>
      <c r="D42" s="78">
        <v>4</v>
      </c>
      <c r="E42" s="78">
        <v>3</v>
      </c>
      <c r="F42" s="78">
        <v>3</v>
      </c>
      <c r="G42" s="172">
        <f t="shared" si="0"/>
        <v>21</v>
      </c>
    </row>
    <row r="43" spans="1:7" x14ac:dyDescent="0.3">
      <c r="A43" s="78">
        <v>5</v>
      </c>
      <c r="B43" s="78">
        <v>4</v>
      </c>
      <c r="C43" s="78">
        <v>4</v>
      </c>
      <c r="D43" s="78">
        <v>4</v>
      </c>
      <c r="E43" s="78">
        <v>5</v>
      </c>
      <c r="F43" s="78">
        <v>5</v>
      </c>
      <c r="G43" s="172">
        <f t="shared" si="0"/>
        <v>27</v>
      </c>
    </row>
    <row r="44" spans="1:7" x14ac:dyDescent="0.3">
      <c r="A44" s="78">
        <v>3</v>
      </c>
      <c r="B44" s="78">
        <v>4</v>
      </c>
      <c r="C44" s="78">
        <v>3</v>
      </c>
      <c r="D44" s="78">
        <v>4</v>
      </c>
      <c r="E44" s="78">
        <v>4</v>
      </c>
      <c r="F44" s="78">
        <v>5</v>
      </c>
      <c r="G44" s="172">
        <f t="shared" si="0"/>
        <v>23</v>
      </c>
    </row>
    <row r="45" spans="1:7" x14ac:dyDescent="0.3">
      <c r="A45" s="78">
        <v>4</v>
      </c>
      <c r="B45" s="78">
        <v>4</v>
      </c>
      <c r="C45" s="78">
        <v>4</v>
      </c>
      <c r="D45" s="78">
        <v>4</v>
      </c>
      <c r="E45" s="78">
        <v>4</v>
      </c>
      <c r="F45" s="78">
        <v>4</v>
      </c>
      <c r="G45" s="172">
        <f t="shared" si="0"/>
        <v>24</v>
      </c>
    </row>
    <row r="46" spans="1:7" x14ac:dyDescent="0.3">
      <c r="A46" s="78">
        <v>4</v>
      </c>
      <c r="B46" s="78">
        <v>4</v>
      </c>
      <c r="C46" s="78">
        <v>4</v>
      </c>
      <c r="D46" s="78">
        <v>4</v>
      </c>
      <c r="E46" s="78">
        <v>5</v>
      </c>
      <c r="F46" s="78">
        <v>4</v>
      </c>
      <c r="G46" s="172">
        <f t="shared" si="0"/>
        <v>25</v>
      </c>
    </row>
    <row r="47" spans="1:7" x14ac:dyDescent="0.3">
      <c r="A47" s="78">
        <v>5</v>
      </c>
      <c r="B47" s="78">
        <v>4</v>
      </c>
      <c r="C47" s="78">
        <v>4</v>
      </c>
      <c r="D47" s="78">
        <v>3</v>
      </c>
      <c r="E47" s="78">
        <v>4</v>
      </c>
      <c r="F47" s="78">
        <v>4</v>
      </c>
      <c r="G47" s="172">
        <f t="shared" si="0"/>
        <v>24</v>
      </c>
    </row>
    <row r="48" spans="1:7" x14ac:dyDescent="0.3">
      <c r="A48" s="78">
        <v>4</v>
      </c>
      <c r="B48" s="78">
        <v>5</v>
      </c>
      <c r="C48" s="78">
        <v>5</v>
      </c>
      <c r="D48" s="78">
        <v>5</v>
      </c>
      <c r="E48" s="78">
        <v>5</v>
      </c>
      <c r="F48" s="78">
        <v>5</v>
      </c>
      <c r="G48" s="172">
        <f t="shared" si="0"/>
        <v>29</v>
      </c>
    </row>
    <row r="49" spans="1:7" x14ac:dyDescent="0.3">
      <c r="A49" s="78">
        <v>4</v>
      </c>
      <c r="B49" s="78">
        <v>4</v>
      </c>
      <c r="C49" s="78">
        <v>4</v>
      </c>
      <c r="D49" s="78">
        <v>5</v>
      </c>
      <c r="E49" s="78">
        <v>5</v>
      </c>
      <c r="F49" s="78">
        <v>4</v>
      </c>
      <c r="G49" s="172">
        <f t="shared" si="0"/>
        <v>26</v>
      </c>
    </row>
    <row r="50" spans="1:7" x14ac:dyDescent="0.3">
      <c r="A50" s="78">
        <v>5</v>
      </c>
      <c r="B50" s="78">
        <v>4</v>
      </c>
      <c r="C50" s="78">
        <v>4</v>
      </c>
      <c r="D50" s="78">
        <v>4</v>
      </c>
      <c r="E50" s="78">
        <v>4</v>
      </c>
      <c r="F50" s="78">
        <v>4</v>
      </c>
      <c r="G50" s="172">
        <f t="shared" si="0"/>
        <v>25</v>
      </c>
    </row>
    <row r="51" spans="1:7" x14ac:dyDescent="0.3">
      <c r="A51" s="78">
        <v>4</v>
      </c>
      <c r="B51" s="78">
        <v>3</v>
      </c>
      <c r="C51" s="78">
        <v>4</v>
      </c>
      <c r="D51" s="78">
        <v>3</v>
      </c>
      <c r="E51" s="78">
        <v>3</v>
      </c>
      <c r="F51" s="78">
        <v>3</v>
      </c>
      <c r="G51" s="172">
        <f t="shared" si="0"/>
        <v>20</v>
      </c>
    </row>
    <row r="52" spans="1:7" x14ac:dyDescent="0.3">
      <c r="A52" s="78">
        <v>3</v>
      </c>
      <c r="B52" s="78">
        <v>4</v>
      </c>
      <c r="C52" s="78">
        <v>4</v>
      </c>
      <c r="D52" s="78">
        <v>4</v>
      </c>
      <c r="E52" s="78">
        <v>3</v>
      </c>
      <c r="F52" s="78">
        <v>3</v>
      </c>
      <c r="G52" s="172">
        <f t="shared" si="0"/>
        <v>21</v>
      </c>
    </row>
    <row r="53" spans="1:7" x14ac:dyDescent="0.3">
      <c r="A53" s="78">
        <v>5</v>
      </c>
      <c r="B53" s="78">
        <v>5</v>
      </c>
      <c r="C53" s="78">
        <v>4</v>
      </c>
      <c r="D53" s="78">
        <v>5</v>
      </c>
      <c r="E53" s="78">
        <v>4</v>
      </c>
      <c r="F53" s="78">
        <v>5</v>
      </c>
      <c r="G53" s="172">
        <f t="shared" si="0"/>
        <v>28</v>
      </c>
    </row>
    <row r="54" spans="1:7" x14ac:dyDescent="0.3">
      <c r="A54" s="78">
        <v>3</v>
      </c>
      <c r="B54" s="78">
        <v>5</v>
      </c>
      <c r="C54" s="78">
        <v>3</v>
      </c>
      <c r="D54" s="78">
        <v>3</v>
      </c>
      <c r="E54" s="78">
        <v>4</v>
      </c>
      <c r="F54" s="78">
        <v>3</v>
      </c>
      <c r="G54" s="172">
        <f t="shared" si="0"/>
        <v>21</v>
      </c>
    </row>
    <row r="55" spans="1:7" x14ac:dyDescent="0.3">
      <c r="A55" s="78">
        <v>4</v>
      </c>
      <c r="B55" s="78">
        <v>4</v>
      </c>
      <c r="C55" s="78">
        <v>4</v>
      </c>
      <c r="D55" s="78">
        <v>4</v>
      </c>
      <c r="E55" s="78">
        <v>3</v>
      </c>
      <c r="F55" s="78">
        <v>4</v>
      </c>
      <c r="G55" s="172">
        <f t="shared" si="0"/>
        <v>23</v>
      </c>
    </row>
    <row r="56" spans="1:7" x14ac:dyDescent="0.3">
      <c r="A56" s="78">
        <v>4</v>
      </c>
      <c r="B56" s="78">
        <v>4</v>
      </c>
      <c r="C56" s="78">
        <v>3</v>
      </c>
      <c r="D56" s="78">
        <v>4</v>
      </c>
      <c r="E56" s="78">
        <v>4</v>
      </c>
      <c r="F56" s="78">
        <v>3</v>
      </c>
      <c r="G56" s="172">
        <f t="shared" si="0"/>
        <v>22</v>
      </c>
    </row>
    <row r="57" spans="1:7" x14ac:dyDescent="0.3">
      <c r="A57" s="78">
        <v>5</v>
      </c>
      <c r="B57" s="78">
        <v>3</v>
      </c>
      <c r="C57" s="78">
        <v>4</v>
      </c>
      <c r="D57" s="78">
        <v>4</v>
      </c>
      <c r="E57" s="78">
        <v>3</v>
      </c>
      <c r="F57" s="78">
        <v>3</v>
      </c>
      <c r="G57" s="172">
        <f t="shared" si="0"/>
        <v>22</v>
      </c>
    </row>
    <row r="58" spans="1:7" x14ac:dyDescent="0.3">
      <c r="A58" s="78">
        <v>3</v>
      </c>
      <c r="B58" s="78">
        <v>3</v>
      </c>
      <c r="C58" s="78">
        <v>4</v>
      </c>
      <c r="D58" s="78">
        <v>4</v>
      </c>
      <c r="E58" s="78">
        <v>4</v>
      </c>
      <c r="F58" s="78">
        <v>4</v>
      </c>
      <c r="G58" s="172">
        <f t="shared" si="0"/>
        <v>22</v>
      </c>
    </row>
    <row r="59" spans="1:7" x14ac:dyDescent="0.3">
      <c r="A59" s="78">
        <v>4</v>
      </c>
      <c r="B59" s="78">
        <v>5</v>
      </c>
      <c r="C59" s="78">
        <v>5</v>
      </c>
      <c r="D59" s="78">
        <v>5</v>
      </c>
      <c r="E59" s="78">
        <v>5</v>
      </c>
      <c r="F59" s="78">
        <v>5</v>
      </c>
      <c r="G59" s="172">
        <f t="shared" si="0"/>
        <v>29</v>
      </c>
    </row>
    <row r="60" spans="1:7" x14ac:dyDescent="0.3">
      <c r="A60" s="78">
        <v>4</v>
      </c>
      <c r="B60" s="78">
        <v>4</v>
      </c>
      <c r="C60" s="78">
        <v>4</v>
      </c>
      <c r="D60" s="78">
        <v>5</v>
      </c>
      <c r="E60" s="78">
        <v>4</v>
      </c>
      <c r="F60" s="78">
        <v>5</v>
      </c>
      <c r="G60" s="172">
        <f t="shared" si="0"/>
        <v>26</v>
      </c>
    </row>
    <row r="61" spans="1:7" x14ac:dyDescent="0.3">
      <c r="A61" s="78">
        <v>5</v>
      </c>
      <c r="B61" s="78">
        <v>4</v>
      </c>
      <c r="C61" s="78">
        <v>4</v>
      </c>
      <c r="D61" s="78">
        <v>3</v>
      </c>
      <c r="E61" s="78">
        <v>3</v>
      </c>
      <c r="F61" s="78">
        <v>4</v>
      </c>
      <c r="G61" s="172">
        <f t="shared" si="0"/>
        <v>23</v>
      </c>
    </row>
    <row r="62" spans="1:7" x14ac:dyDescent="0.3">
      <c r="A62" s="78">
        <v>4</v>
      </c>
      <c r="B62" s="78">
        <v>4</v>
      </c>
      <c r="C62" s="78">
        <v>4</v>
      </c>
      <c r="D62" s="78">
        <v>4</v>
      </c>
      <c r="E62" s="78">
        <v>4</v>
      </c>
      <c r="F62" s="78">
        <v>4</v>
      </c>
      <c r="G62" s="172">
        <f t="shared" si="0"/>
        <v>24</v>
      </c>
    </row>
    <row r="63" spans="1:7" x14ac:dyDescent="0.3">
      <c r="A63" s="78">
        <v>5</v>
      </c>
      <c r="B63" s="78">
        <v>3</v>
      </c>
      <c r="C63" s="78">
        <v>4</v>
      </c>
      <c r="D63" s="78">
        <v>4</v>
      </c>
      <c r="E63" s="78">
        <v>4</v>
      </c>
      <c r="F63" s="78">
        <v>4</v>
      </c>
      <c r="G63" s="172">
        <f t="shared" si="0"/>
        <v>24</v>
      </c>
    </row>
    <row r="64" spans="1:7" x14ac:dyDescent="0.3">
      <c r="A64" s="78">
        <v>5</v>
      </c>
      <c r="B64" s="78">
        <v>3</v>
      </c>
      <c r="C64" s="78">
        <v>4</v>
      </c>
      <c r="D64" s="78">
        <v>5</v>
      </c>
      <c r="E64" s="78">
        <v>4</v>
      </c>
      <c r="F64" s="78">
        <v>3</v>
      </c>
      <c r="G64" s="172">
        <f t="shared" si="0"/>
        <v>24</v>
      </c>
    </row>
    <row r="65" spans="1:7" x14ac:dyDescent="0.3">
      <c r="A65" s="78">
        <v>3</v>
      </c>
      <c r="B65" s="78">
        <v>4</v>
      </c>
      <c r="C65" s="78">
        <v>3</v>
      </c>
      <c r="D65" s="78">
        <v>4</v>
      </c>
      <c r="E65" s="78">
        <v>4</v>
      </c>
      <c r="F65" s="78">
        <v>2</v>
      </c>
      <c r="G65" s="172">
        <f t="shared" si="0"/>
        <v>20</v>
      </c>
    </row>
    <row r="66" spans="1:7" x14ac:dyDescent="0.3">
      <c r="A66" s="78">
        <v>4</v>
      </c>
      <c r="B66" s="78">
        <v>3</v>
      </c>
      <c r="C66" s="78">
        <v>4</v>
      </c>
      <c r="D66" s="78">
        <v>4</v>
      </c>
      <c r="E66" s="78">
        <v>4</v>
      </c>
      <c r="F66" s="78">
        <v>3</v>
      </c>
      <c r="G66" s="172">
        <f t="shared" si="0"/>
        <v>22</v>
      </c>
    </row>
    <row r="67" spans="1:7" x14ac:dyDescent="0.3">
      <c r="A67" s="78">
        <v>5</v>
      </c>
      <c r="B67" s="78">
        <v>3</v>
      </c>
      <c r="C67" s="78">
        <v>4</v>
      </c>
      <c r="D67" s="78">
        <v>3</v>
      </c>
      <c r="E67" s="78">
        <v>4</v>
      </c>
      <c r="F67" s="78">
        <v>5</v>
      </c>
      <c r="G67" s="172">
        <f t="shared" si="0"/>
        <v>24</v>
      </c>
    </row>
    <row r="68" spans="1:7" x14ac:dyDescent="0.3">
      <c r="A68" s="78">
        <v>4</v>
      </c>
      <c r="B68" s="78">
        <v>5</v>
      </c>
      <c r="C68" s="78">
        <v>4</v>
      </c>
      <c r="D68" s="78">
        <v>5</v>
      </c>
      <c r="E68" s="78">
        <v>5</v>
      </c>
      <c r="F68" s="78">
        <v>4</v>
      </c>
      <c r="G68" s="172">
        <f t="shared" si="0"/>
        <v>27</v>
      </c>
    </row>
    <row r="69" spans="1:7" x14ac:dyDescent="0.3">
      <c r="A69" s="78">
        <v>5</v>
      </c>
      <c r="B69" s="78">
        <v>5</v>
      </c>
      <c r="C69" s="78">
        <v>5</v>
      </c>
      <c r="D69" s="78">
        <v>4</v>
      </c>
      <c r="E69" s="78">
        <v>5</v>
      </c>
      <c r="F69" s="78">
        <v>5</v>
      </c>
      <c r="G69" s="172">
        <f t="shared" si="0"/>
        <v>29</v>
      </c>
    </row>
    <row r="70" spans="1:7" x14ac:dyDescent="0.3">
      <c r="A70" s="78">
        <v>3</v>
      </c>
      <c r="B70" s="78">
        <v>3</v>
      </c>
      <c r="C70" s="78">
        <v>4</v>
      </c>
      <c r="D70" s="78">
        <v>4</v>
      </c>
      <c r="E70" s="78">
        <v>3</v>
      </c>
      <c r="F70" s="78">
        <v>3</v>
      </c>
      <c r="G70" s="172">
        <f t="shared" si="0"/>
        <v>20</v>
      </c>
    </row>
    <row r="71" spans="1:7" x14ac:dyDescent="0.3">
      <c r="A71" s="78">
        <v>3</v>
      </c>
      <c r="B71" s="78">
        <v>4</v>
      </c>
      <c r="C71" s="78">
        <v>5</v>
      </c>
      <c r="D71" s="78">
        <v>4</v>
      </c>
      <c r="E71" s="78">
        <v>3</v>
      </c>
      <c r="F71" s="78">
        <v>4</v>
      </c>
      <c r="G71" s="172">
        <f t="shared" si="0"/>
        <v>23</v>
      </c>
    </row>
    <row r="72" spans="1:7" x14ac:dyDescent="0.3">
      <c r="A72" s="78">
        <v>3</v>
      </c>
      <c r="B72" s="78">
        <v>4</v>
      </c>
      <c r="C72" s="78">
        <v>4</v>
      </c>
      <c r="D72" s="78">
        <v>3</v>
      </c>
      <c r="E72" s="78">
        <v>4</v>
      </c>
      <c r="F72" s="78">
        <v>4</v>
      </c>
      <c r="G72" s="172">
        <f t="shared" si="0"/>
        <v>22</v>
      </c>
    </row>
    <row r="73" spans="1:7" x14ac:dyDescent="0.3">
      <c r="A73" s="78">
        <v>3</v>
      </c>
      <c r="B73" s="78">
        <v>4</v>
      </c>
      <c r="C73" s="78">
        <v>3</v>
      </c>
      <c r="D73" s="78">
        <v>4</v>
      </c>
      <c r="E73" s="78">
        <v>3</v>
      </c>
      <c r="F73" s="78">
        <v>5</v>
      </c>
      <c r="G73" s="172">
        <f t="shared" si="0"/>
        <v>22</v>
      </c>
    </row>
    <row r="74" spans="1:7" x14ac:dyDescent="0.3">
      <c r="A74" s="78">
        <v>4</v>
      </c>
      <c r="B74" s="78">
        <v>4</v>
      </c>
      <c r="C74" s="78">
        <v>2</v>
      </c>
      <c r="D74" s="78">
        <v>3</v>
      </c>
      <c r="E74" s="78">
        <v>3</v>
      </c>
      <c r="F74" s="78">
        <v>5</v>
      </c>
      <c r="G74" s="172">
        <f t="shared" si="0"/>
        <v>21</v>
      </c>
    </row>
    <row r="75" spans="1:7" x14ac:dyDescent="0.3">
      <c r="A75" s="78">
        <v>4</v>
      </c>
      <c r="B75" s="78">
        <v>4</v>
      </c>
      <c r="C75" s="78">
        <v>5</v>
      </c>
      <c r="D75" s="78">
        <v>4</v>
      </c>
      <c r="E75" s="78">
        <v>4</v>
      </c>
      <c r="F75" s="78">
        <v>5</v>
      </c>
      <c r="G75" s="172">
        <f t="shared" si="0"/>
        <v>26</v>
      </c>
    </row>
    <row r="76" spans="1:7" x14ac:dyDescent="0.3">
      <c r="A76" s="78">
        <v>4</v>
      </c>
      <c r="B76" s="78">
        <v>4</v>
      </c>
      <c r="C76" s="78">
        <v>4</v>
      </c>
      <c r="D76" s="78">
        <v>5</v>
      </c>
      <c r="E76" s="78">
        <v>5</v>
      </c>
      <c r="F76" s="78">
        <v>5</v>
      </c>
      <c r="G76" s="172">
        <f t="shared" si="0"/>
        <v>27</v>
      </c>
    </row>
    <row r="77" spans="1:7" x14ac:dyDescent="0.3">
      <c r="A77" s="78">
        <v>3</v>
      </c>
      <c r="B77" s="78">
        <v>4</v>
      </c>
      <c r="C77" s="78">
        <v>3</v>
      </c>
      <c r="D77" s="78">
        <v>3</v>
      </c>
      <c r="E77" s="78">
        <v>4</v>
      </c>
      <c r="F77" s="78">
        <v>4</v>
      </c>
      <c r="G77" s="172">
        <f t="shared" si="0"/>
        <v>21</v>
      </c>
    </row>
  </sheetData>
  <mergeCells count="23">
    <mergeCell ref="I24:Q24"/>
    <mergeCell ref="I25:Q25"/>
    <mergeCell ref="Y5:AB5"/>
    <mergeCell ref="Y6:Z6"/>
    <mergeCell ref="Y7:Y9"/>
    <mergeCell ref="Y10:AB10"/>
    <mergeCell ref="AA12:AB12"/>
    <mergeCell ref="I12:I14"/>
    <mergeCell ref="W2:W3"/>
    <mergeCell ref="A26:G26"/>
    <mergeCell ref="I1:Q1"/>
    <mergeCell ref="I2:J2"/>
    <mergeCell ref="I3:I5"/>
    <mergeCell ref="I6:I8"/>
    <mergeCell ref="I9:I11"/>
    <mergeCell ref="S1:W1"/>
    <mergeCell ref="S2:S3"/>
    <mergeCell ref="T2:T3"/>
    <mergeCell ref="U2:U3"/>
    <mergeCell ref="V2:V3"/>
    <mergeCell ref="I15:I17"/>
    <mergeCell ref="I18:I20"/>
    <mergeCell ref="I21:I23"/>
  </mergeCells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4715-4D11-4BEF-9060-DDD4F8249408}">
  <dimension ref="B1:G33"/>
  <sheetViews>
    <sheetView topLeftCell="B1" workbookViewId="0">
      <selection activeCell="B2" sqref="B2:F33"/>
    </sheetView>
  </sheetViews>
  <sheetFormatPr defaultRowHeight="14.4" x14ac:dyDescent="0.3"/>
  <cols>
    <col min="2" max="2" width="13.77734375" customWidth="1"/>
    <col min="3" max="3" width="14.21875" customWidth="1"/>
    <col min="4" max="4" width="11.6640625" customWidth="1"/>
    <col min="5" max="6" width="13.5546875" customWidth="1"/>
    <col min="7" max="7" width="12.21875" customWidth="1"/>
  </cols>
  <sheetData>
    <row r="1" spans="2:7" ht="15.6" x14ac:dyDescent="0.3">
      <c r="C1" s="76"/>
      <c r="D1" s="76"/>
      <c r="E1" s="76"/>
      <c r="F1" s="76"/>
      <c r="G1" s="76"/>
    </row>
    <row r="2" spans="2:7" ht="14.4" customHeight="1" x14ac:dyDescent="0.3">
      <c r="B2" s="226" t="s">
        <v>214</v>
      </c>
      <c r="C2" s="227" t="s">
        <v>271</v>
      </c>
      <c r="D2" s="270" t="s">
        <v>306</v>
      </c>
      <c r="E2" s="226" t="s">
        <v>305</v>
      </c>
      <c r="F2" s="226" t="s">
        <v>48</v>
      </c>
    </row>
    <row r="3" spans="2:7" ht="34.200000000000003" customHeight="1" x14ac:dyDescent="0.3">
      <c r="B3" s="226"/>
      <c r="C3" s="271"/>
      <c r="D3" s="270"/>
      <c r="E3" s="226"/>
      <c r="F3" s="226"/>
    </row>
    <row r="4" spans="2:7" x14ac:dyDescent="0.3">
      <c r="B4" s="226" t="s">
        <v>302</v>
      </c>
      <c r="C4" s="79" t="s">
        <v>272</v>
      </c>
      <c r="D4" s="81" t="s">
        <v>157</v>
      </c>
      <c r="E4" s="85">
        <v>0.36799999999999999</v>
      </c>
      <c r="F4" s="82" t="s">
        <v>49</v>
      </c>
    </row>
    <row r="5" spans="2:7" x14ac:dyDescent="0.3">
      <c r="B5" s="228"/>
      <c r="C5" s="79" t="s">
        <v>273</v>
      </c>
      <c r="D5" s="81" t="s">
        <v>158</v>
      </c>
      <c r="E5" s="85">
        <v>0.36799999999999999</v>
      </c>
      <c r="F5" s="82" t="s">
        <v>49</v>
      </c>
    </row>
    <row r="6" spans="2:7" x14ac:dyDescent="0.3">
      <c r="B6" s="228"/>
      <c r="C6" s="79" t="s">
        <v>274</v>
      </c>
      <c r="D6" s="81" t="s">
        <v>159</v>
      </c>
      <c r="E6" s="85">
        <v>0.36799999999999999</v>
      </c>
      <c r="F6" s="82" t="s">
        <v>49</v>
      </c>
    </row>
    <row r="7" spans="2:7" x14ac:dyDescent="0.3">
      <c r="B7" s="228"/>
      <c r="C7" s="79" t="s">
        <v>275</v>
      </c>
      <c r="D7" s="81" t="s">
        <v>160</v>
      </c>
      <c r="E7" s="85">
        <v>0.36799999999999999</v>
      </c>
      <c r="F7" s="82" t="s">
        <v>49</v>
      </c>
    </row>
    <row r="8" spans="2:7" x14ac:dyDescent="0.3">
      <c r="B8" s="228"/>
      <c r="C8" s="79" t="s">
        <v>276</v>
      </c>
      <c r="D8" s="81" t="s">
        <v>161</v>
      </c>
      <c r="E8" s="85">
        <v>0.36799999999999999</v>
      </c>
      <c r="F8" s="82" t="s">
        <v>49</v>
      </c>
    </row>
    <row r="9" spans="2:7" x14ac:dyDescent="0.3">
      <c r="B9" s="228"/>
      <c r="C9" s="79" t="s">
        <v>277</v>
      </c>
      <c r="D9" s="81" t="s">
        <v>162</v>
      </c>
      <c r="E9" s="85">
        <v>0.36799999999999999</v>
      </c>
      <c r="F9" s="82" t="s">
        <v>49</v>
      </c>
    </row>
    <row r="10" spans="2:7" x14ac:dyDescent="0.3">
      <c r="B10" s="228"/>
      <c r="C10" s="79" t="s">
        <v>278</v>
      </c>
      <c r="D10" s="81" t="s">
        <v>163</v>
      </c>
      <c r="E10" s="85">
        <v>0.36799999999999999</v>
      </c>
      <c r="F10" s="82" t="s">
        <v>49</v>
      </c>
    </row>
    <row r="11" spans="2:7" x14ac:dyDescent="0.3">
      <c r="B11" s="228"/>
      <c r="C11" s="79" t="s">
        <v>279</v>
      </c>
      <c r="D11" s="81" t="s">
        <v>164</v>
      </c>
      <c r="E11" s="85">
        <v>0.36799999999999999</v>
      </c>
      <c r="F11" s="82" t="s">
        <v>49</v>
      </c>
    </row>
    <row r="12" spans="2:7" x14ac:dyDescent="0.3">
      <c r="B12" s="228"/>
      <c r="C12" s="79" t="s">
        <v>280</v>
      </c>
      <c r="D12" s="81" t="s">
        <v>63</v>
      </c>
      <c r="E12" s="85">
        <v>0.36799999999999999</v>
      </c>
      <c r="F12" s="82" t="s">
        <v>49</v>
      </c>
    </row>
    <row r="13" spans="2:7" x14ac:dyDescent="0.3">
      <c r="B13" s="228"/>
      <c r="C13" s="79" t="s">
        <v>281</v>
      </c>
      <c r="D13" s="81" t="s">
        <v>165</v>
      </c>
      <c r="E13" s="85">
        <v>0.36799999999999999</v>
      </c>
      <c r="F13" s="82" t="s">
        <v>49</v>
      </c>
    </row>
    <row r="14" spans="2:7" x14ac:dyDescent="0.3">
      <c r="B14" s="228"/>
      <c r="C14" s="79" t="s">
        <v>282</v>
      </c>
      <c r="D14" s="81" t="s">
        <v>166</v>
      </c>
      <c r="E14" s="85">
        <v>0.36799999999999999</v>
      </c>
      <c r="F14" s="82" t="s">
        <v>49</v>
      </c>
    </row>
    <row r="15" spans="2:7" x14ac:dyDescent="0.3">
      <c r="B15" s="228"/>
      <c r="C15" s="79" t="s">
        <v>283</v>
      </c>
      <c r="D15" s="81" t="s">
        <v>167</v>
      </c>
      <c r="E15" s="85">
        <v>0.36799999999999999</v>
      </c>
      <c r="F15" s="82" t="s">
        <v>49</v>
      </c>
    </row>
    <row r="16" spans="2:7" x14ac:dyDescent="0.3">
      <c r="B16" s="228"/>
      <c r="C16" s="79" t="s">
        <v>284</v>
      </c>
      <c r="D16" s="81" t="s">
        <v>165</v>
      </c>
      <c r="E16" s="85">
        <v>0.36799999999999999</v>
      </c>
      <c r="F16" s="82" t="s">
        <v>49</v>
      </c>
    </row>
    <row r="17" spans="2:6" x14ac:dyDescent="0.3">
      <c r="B17" s="228"/>
      <c r="C17" s="79" t="s">
        <v>285</v>
      </c>
      <c r="D17" s="81" t="s">
        <v>166</v>
      </c>
      <c r="E17" s="85">
        <v>0.36799999999999999</v>
      </c>
      <c r="F17" s="82" t="s">
        <v>49</v>
      </c>
    </row>
    <row r="18" spans="2:6" x14ac:dyDescent="0.3">
      <c r="B18" s="228"/>
      <c r="C18" s="79" t="s">
        <v>286</v>
      </c>
      <c r="D18" s="81" t="s">
        <v>167</v>
      </c>
      <c r="E18" s="85">
        <v>0.36799999999999999</v>
      </c>
      <c r="F18" s="82" t="s">
        <v>49</v>
      </c>
    </row>
    <row r="19" spans="2:6" ht="14.4" customHeight="1" x14ac:dyDescent="0.3">
      <c r="B19" s="226" t="s">
        <v>303</v>
      </c>
      <c r="C19" s="79" t="s">
        <v>287</v>
      </c>
      <c r="D19" s="83" t="s">
        <v>168</v>
      </c>
      <c r="E19" s="85">
        <v>0.36799999999999999</v>
      </c>
      <c r="F19" s="82" t="s">
        <v>49</v>
      </c>
    </row>
    <row r="20" spans="2:6" ht="14.4" customHeight="1" x14ac:dyDescent="0.3">
      <c r="B20" s="228"/>
      <c r="C20" s="79" t="s">
        <v>288</v>
      </c>
      <c r="D20" s="83" t="s">
        <v>62</v>
      </c>
      <c r="E20" s="85">
        <v>0.36799999999999999</v>
      </c>
      <c r="F20" s="82" t="s">
        <v>49</v>
      </c>
    </row>
    <row r="21" spans="2:6" x14ac:dyDescent="0.3">
      <c r="B21" s="228"/>
      <c r="C21" s="79" t="s">
        <v>289</v>
      </c>
      <c r="D21" s="83" t="s">
        <v>169</v>
      </c>
      <c r="E21" s="85">
        <v>0.36799999999999999</v>
      </c>
      <c r="F21" s="82" t="s">
        <v>49</v>
      </c>
    </row>
    <row r="22" spans="2:6" x14ac:dyDescent="0.3">
      <c r="B22" s="228"/>
      <c r="C22" s="79" t="s">
        <v>290</v>
      </c>
      <c r="D22" s="83" t="s">
        <v>170</v>
      </c>
      <c r="E22" s="85">
        <v>0.36799999999999999</v>
      </c>
      <c r="F22" s="82" t="s">
        <v>49</v>
      </c>
    </row>
    <row r="23" spans="2:6" x14ac:dyDescent="0.3">
      <c r="B23" s="228"/>
      <c r="C23" s="79" t="s">
        <v>291</v>
      </c>
      <c r="D23" s="83" t="s">
        <v>171</v>
      </c>
      <c r="E23" s="85">
        <v>0.36799999999999999</v>
      </c>
      <c r="F23" s="82" t="s">
        <v>49</v>
      </c>
    </row>
    <row r="24" spans="2:6" x14ac:dyDescent="0.3">
      <c r="B24" s="228"/>
      <c r="C24" s="79" t="s">
        <v>292</v>
      </c>
      <c r="D24" s="83" t="s">
        <v>172</v>
      </c>
      <c r="E24" s="85">
        <v>0.36799999999999999</v>
      </c>
      <c r="F24" s="82" t="s">
        <v>49</v>
      </c>
    </row>
    <row r="25" spans="2:6" x14ac:dyDescent="0.3">
      <c r="B25" s="228"/>
      <c r="C25" s="79" t="s">
        <v>293</v>
      </c>
      <c r="D25" s="83" t="s">
        <v>173</v>
      </c>
      <c r="E25" s="85">
        <v>0.36799999999999999</v>
      </c>
      <c r="F25" s="82" t="s">
        <v>49</v>
      </c>
    </row>
    <row r="26" spans="2:6" x14ac:dyDescent="0.3">
      <c r="B26" s="228"/>
      <c r="C26" s="79" t="s">
        <v>294</v>
      </c>
      <c r="D26" s="83" t="s">
        <v>174</v>
      </c>
      <c r="E26" s="85">
        <v>0.36799999999999999</v>
      </c>
      <c r="F26" s="82" t="s">
        <v>49</v>
      </c>
    </row>
    <row r="27" spans="2:6" x14ac:dyDescent="0.3">
      <c r="B27" s="228"/>
      <c r="C27" s="79" t="s">
        <v>295</v>
      </c>
      <c r="D27" s="83" t="s">
        <v>175</v>
      </c>
      <c r="E27" s="85">
        <v>0.36799999999999999</v>
      </c>
      <c r="F27" s="82" t="s">
        <v>49</v>
      </c>
    </row>
    <row r="28" spans="2:6" x14ac:dyDescent="0.3">
      <c r="B28" s="226" t="s">
        <v>304</v>
      </c>
      <c r="C28" s="79" t="s">
        <v>296</v>
      </c>
      <c r="D28" s="84" t="s">
        <v>201</v>
      </c>
      <c r="E28" s="85">
        <v>0.36799999999999999</v>
      </c>
      <c r="F28" s="82" t="s">
        <v>49</v>
      </c>
    </row>
    <row r="29" spans="2:6" x14ac:dyDescent="0.3">
      <c r="B29" s="228"/>
      <c r="C29" s="79" t="s">
        <v>297</v>
      </c>
      <c r="D29" s="84" t="s">
        <v>202</v>
      </c>
      <c r="E29" s="85">
        <v>0.36799999999999999</v>
      </c>
      <c r="F29" s="82" t="s">
        <v>49</v>
      </c>
    </row>
    <row r="30" spans="2:6" x14ac:dyDescent="0.3">
      <c r="B30" s="228"/>
      <c r="C30" s="79" t="s">
        <v>298</v>
      </c>
      <c r="D30" s="84" t="s">
        <v>202</v>
      </c>
      <c r="E30" s="85">
        <v>0.36799999999999999</v>
      </c>
      <c r="F30" s="82" t="s">
        <v>49</v>
      </c>
    </row>
    <row r="31" spans="2:6" x14ac:dyDescent="0.3">
      <c r="B31" s="228"/>
      <c r="C31" s="79" t="s">
        <v>299</v>
      </c>
      <c r="D31" s="84" t="s">
        <v>203</v>
      </c>
      <c r="E31" s="85">
        <v>0.36799999999999999</v>
      </c>
      <c r="F31" s="82" t="s">
        <v>49</v>
      </c>
    </row>
    <row r="32" spans="2:6" x14ac:dyDescent="0.3">
      <c r="B32" s="228"/>
      <c r="C32" s="79" t="s">
        <v>300</v>
      </c>
      <c r="D32" s="84" t="s">
        <v>204</v>
      </c>
      <c r="E32" s="85">
        <v>0.36799999999999999</v>
      </c>
      <c r="F32" s="82" t="s">
        <v>49</v>
      </c>
    </row>
    <row r="33" spans="2:6" x14ac:dyDescent="0.3">
      <c r="B33" s="228"/>
      <c r="C33" s="79" t="s">
        <v>301</v>
      </c>
      <c r="D33" s="84" t="s">
        <v>205</v>
      </c>
      <c r="E33" s="85">
        <v>0.36799999999999999</v>
      </c>
      <c r="F33" s="82" t="s">
        <v>49</v>
      </c>
    </row>
  </sheetData>
  <mergeCells count="8">
    <mergeCell ref="D2:D3"/>
    <mergeCell ref="E2:E3"/>
    <mergeCell ref="F2:F3"/>
    <mergeCell ref="B28:B33"/>
    <mergeCell ref="C2:C3"/>
    <mergeCell ref="B4:B18"/>
    <mergeCell ref="B19:B27"/>
    <mergeCell ref="B2:B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B33D-232A-4A6E-B6A0-282178CF4D01}">
  <dimension ref="A1:D4"/>
  <sheetViews>
    <sheetView workbookViewId="0">
      <selection activeCell="C2" sqref="C2"/>
    </sheetView>
  </sheetViews>
  <sheetFormatPr defaultRowHeight="14.4" x14ac:dyDescent="0.3"/>
  <cols>
    <col min="1" max="1" width="19.44140625" customWidth="1"/>
    <col min="2" max="2" width="24.21875" customWidth="1"/>
    <col min="3" max="3" width="18.6640625" customWidth="1"/>
    <col min="4" max="4" width="13.21875" customWidth="1"/>
  </cols>
  <sheetData>
    <row r="1" spans="1:4" ht="16.2" x14ac:dyDescent="0.35">
      <c r="A1" s="58" t="s">
        <v>214</v>
      </c>
      <c r="B1" s="58" t="s">
        <v>215</v>
      </c>
      <c r="C1" s="58" t="s">
        <v>220</v>
      </c>
      <c r="D1" s="58" t="s">
        <v>48</v>
      </c>
    </row>
    <row r="2" spans="1:4" ht="15.6" x14ac:dyDescent="0.3">
      <c r="A2" s="57" t="s">
        <v>216</v>
      </c>
      <c r="B2" s="86">
        <v>0.93505370759759832</v>
      </c>
      <c r="C2" s="59">
        <v>0.7</v>
      </c>
      <c r="D2" s="89" t="s">
        <v>219</v>
      </c>
    </row>
    <row r="3" spans="1:4" ht="15.6" x14ac:dyDescent="0.3">
      <c r="A3" s="57" t="s">
        <v>217</v>
      </c>
      <c r="B3" s="87">
        <v>0.88723671613212263</v>
      </c>
      <c r="C3" s="59">
        <v>0.7</v>
      </c>
      <c r="D3" s="89" t="s">
        <v>219</v>
      </c>
    </row>
    <row r="4" spans="1:4" ht="15.6" x14ac:dyDescent="0.3">
      <c r="A4" s="57" t="s">
        <v>218</v>
      </c>
      <c r="B4" s="88">
        <v>0.70980966325037531</v>
      </c>
      <c r="C4" s="59">
        <v>0.7</v>
      </c>
      <c r="D4" s="89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7E4A-63DF-4323-BC98-A86A64FDAB1D}">
  <dimension ref="A1:H22"/>
  <sheetViews>
    <sheetView workbookViewId="0">
      <selection activeCell="F1" sqref="F1"/>
    </sheetView>
  </sheetViews>
  <sheetFormatPr defaultRowHeight="14.4" x14ac:dyDescent="0.3"/>
  <sheetData>
    <row r="1" spans="1:8" x14ac:dyDescent="0.3">
      <c r="A1" s="276" t="s">
        <v>307</v>
      </c>
      <c r="B1" s="276"/>
      <c r="C1" s="276"/>
      <c r="D1" s="276"/>
      <c r="E1" s="276"/>
      <c r="F1" s="90"/>
    </row>
    <row r="2" spans="1:8" ht="35.4" x14ac:dyDescent="0.3">
      <c r="A2" s="91" t="s">
        <v>308</v>
      </c>
      <c r="B2" s="92" t="s">
        <v>309</v>
      </c>
      <c r="C2" s="93" t="s">
        <v>310</v>
      </c>
      <c r="D2" s="93" t="s">
        <v>311</v>
      </c>
      <c r="E2" s="94" t="s">
        <v>312</v>
      </c>
      <c r="F2" s="90"/>
    </row>
    <row r="3" spans="1:8" x14ac:dyDescent="0.3">
      <c r="A3" s="95" t="s">
        <v>313</v>
      </c>
      <c r="B3" s="96" t="s">
        <v>315</v>
      </c>
      <c r="C3" s="97">
        <v>0.52691291761449843</v>
      </c>
      <c r="D3" s="97">
        <v>0.50678155240660472</v>
      </c>
      <c r="E3" s="98">
        <v>1.9267654392758022</v>
      </c>
      <c r="F3" s="90"/>
    </row>
    <row r="4" spans="1:8" ht="14.4" customHeight="1" x14ac:dyDescent="0.3">
      <c r="A4" s="277" t="s">
        <v>314</v>
      </c>
      <c r="B4" s="277"/>
      <c r="C4" s="277"/>
      <c r="D4" s="277"/>
      <c r="E4" s="277"/>
      <c r="F4" s="90"/>
    </row>
    <row r="7" spans="1:8" x14ac:dyDescent="0.3">
      <c r="A7" s="276" t="s">
        <v>325</v>
      </c>
      <c r="B7" s="276"/>
      <c r="C7" s="276"/>
      <c r="D7" s="276"/>
      <c r="E7" s="276"/>
      <c r="F7" s="276"/>
      <c r="G7" s="276"/>
      <c r="H7" s="90"/>
    </row>
    <row r="8" spans="1:8" ht="24" x14ac:dyDescent="0.3">
      <c r="A8" s="278" t="s">
        <v>308</v>
      </c>
      <c r="B8" s="278"/>
      <c r="C8" s="92" t="s">
        <v>316</v>
      </c>
      <c r="D8" s="93" t="s">
        <v>317</v>
      </c>
      <c r="E8" s="93" t="s">
        <v>318</v>
      </c>
      <c r="F8" s="93" t="s">
        <v>319</v>
      </c>
      <c r="G8" s="94" t="s">
        <v>320</v>
      </c>
      <c r="H8" s="90"/>
    </row>
    <row r="9" spans="1:8" ht="22.8" x14ac:dyDescent="0.3">
      <c r="A9" s="272" t="s">
        <v>313</v>
      </c>
      <c r="B9" s="99" t="s">
        <v>321</v>
      </c>
      <c r="C9" s="100">
        <v>194.33602227457936</v>
      </c>
      <c r="D9" s="101">
        <v>2</v>
      </c>
      <c r="E9" s="102">
        <v>97.168011137289682</v>
      </c>
      <c r="F9" s="102">
        <v>26.173730006541792</v>
      </c>
      <c r="G9" s="103" t="s">
        <v>326</v>
      </c>
      <c r="H9" s="90"/>
    </row>
    <row r="10" spans="1:8" x14ac:dyDescent="0.3">
      <c r="A10" s="273"/>
      <c r="B10" s="104" t="s">
        <v>322</v>
      </c>
      <c r="C10" s="105">
        <v>174.48397772542074</v>
      </c>
      <c r="D10" s="106">
        <v>47</v>
      </c>
      <c r="E10" s="107">
        <v>3.7124250579876752</v>
      </c>
      <c r="F10" s="108"/>
      <c r="G10" s="109"/>
      <c r="H10" s="90"/>
    </row>
    <row r="11" spans="1:8" x14ac:dyDescent="0.3">
      <c r="A11" s="274"/>
      <c r="B11" s="110" t="s">
        <v>152</v>
      </c>
      <c r="C11" s="111">
        <v>368.82000000000011</v>
      </c>
      <c r="D11" s="112">
        <v>49</v>
      </c>
      <c r="E11" s="113"/>
      <c r="F11" s="113"/>
      <c r="G11" s="114"/>
      <c r="H11" s="90"/>
    </row>
    <row r="12" spans="1:8" x14ac:dyDescent="0.3">
      <c r="A12" s="275" t="s">
        <v>323</v>
      </c>
      <c r="B12" s="275"/>
      <c r="C12" s="275"/>
      <c r="D12" s="275"/>
      <c r="E12" s="275"/>
      <c r="F12" s="275"/>
      <c r="G12" s="275"/>
      <c r="H12" s="90"/>
    </row>
    <row r="13" spans="1:8" x14ac:dyDescent="0.3">
      <c r="A13" s="275" t="s">
        <v>324</v>
      </c>
      <c r="B13" s="275"/>
      <c r="C13" s="275"/>
      <c r="D13" s="275"/>
      <c r="E13" s="275"/>
      <c r="F13" s="275"/>
      <c r="G13" s="275"/>
      <c r="H13" s="90"/>
    </row>
    <row r="16" spans="1:8" x14ac:dyDescent="0.3">
      <c r="A16" s="276" t="s">
        <v>334</v>
      </c>
      <c r="B16" s="276"/>
      <c r="C16" s="276"/>
      <c r="D16" s="276"/>
      <c r="E16" s="276"/>
      <c r="F16" s="276"/>
      <c r="G16" s="276"/>
      <c r="H16" s="90"/>
    </row>
    <row r="17" spans="1:8" ht="46.8" x14ac:dyDescent="0.3">
      <c r="A17" s="279" t="s">
        <v>308</v>
      </c>
      <c r="B17" s="279"/>
      <c r="C17" s="280" t="s">
        <v>327</v>
      </c>
      <c r="D17" s="281"/>
      <c r="E17" s="115" t="s">
        <v>328</v>
      </c>
      <c r="F17" s="281" t="s">
        <v>329</v>
      </c>
      <c r="G17" s="283" t="s">
        <v>320</v>
      </c>
      <c r="H17" s="90"/>
    </row>
    <row r="18" spans="1:8" x14ac:dyDescent="0.3">
      <c r="A18" s="278"/>
      <c r="B18" s="278"/>
      <c r="C18" s="92" t="s">
        <v>330</v>
      </c>
      <c r="D18" s="93" t="s">
        <v>331</v>
      </c>
      <c r="E18" s="93" t="s">
        <v>332</v>
      </c>
      <c r="F18" s="282"/>
      <c r="G18" s="284"/>
      <c r="H18" s="90"/>
    </row>
    <row r="19" spans="1:8" x14ac:dyDescent="0.3">
      <c r="A19" s="272" t="s">
        <v>313</v>
      </c>
      <c r="B19" s="99" t="s">
        <v>333</v>
      </c>
      <c r="C19" s="100">
        <v>8.3622438636772038</v>
      </c>
      <c r="D19" s="102">
        <v>2.1868424038006835</v>
      </c>
      <c r="E19" s="116"/>
      <c r="F19" s="102">
        <v>3.8238895720806445</v>
      </c>
      <c r="G19" s="117">
        <v>3.8587091197759985E-4</v>
      </c>
      <c r="H19" s="90"/>
    </row>
    <row r="20" spans="1:8" ht="22.8" x14ac:dyDescent="0.3">
      <c r="A20" s="273"/>
      <c r="B20" s="104" t="s">
        <v>268</v>
      </c>
      <c r="C20" s="105">
        <v>0.14003512847154886</v>
      </c>
      <c r="D20" s="107">
        <v>4.8323390944159557E-2</v>
      </c>
      <c r="E20" s="107">
        <v>0.37935990544891862</v>
      </c>
      <c r="F20" s="107">
        <v>2.8978746262522734</v>
      </c>
      <c r="G20" s="118">
        <v>5.6907646244372355E-3</v>
      </c>
      <c r="H20" s="90"/>
    </row>
    <row r="21" spans="1:8" x14ac:dyDescent="0.3">
      <c r="A21" s="274"/>
      <c r="B21" s="110" t="s">
        <v>269</v>
      </c>
      <c r="C21" s="111">
        <v>0.25558842372858726</v>
      </c>
      <c r="D21" s="119">
        <v>7.9394282680214992E-2</v>
      </c>
      <c r="E21" s="119">
        <v>0.42142838759605011</v>
      </c>
      <c r="F21" s="119">
        <v>3.2192295855615778</v>
      </c>
      <c r="G21" s="120">
        <v>2.33223063971312E-3</v>
      </c>
      <c r="H21" s="90"/>
    </row>
    <row r="22" spans="1:8" x14ac:dyDescent="0.3">
      <c r="A22" s="275" t="s">
        <v>323</v>
      </c>
      <c r="B22" s="275"/>
      <c r="C22" s="275"/>
      <c r="D22" s="275"/>
      <c r="E22" s="275"/>
      <c r="F22" s="275"/>
      <c r="G22" s="275"/>
      <c r="H22" s="90"/>
    </row>
  </sheetData>
  <mergeCells count="14">
    <mergeCell ref="A19:A21"/>
    <mergeCell ref="A22:G22"/>
    <mergeCell ref="A12:G12"/>
    <mergeCell ref="A13:G13"/>
    <mergeCell ref="A1:E1"/>
    <mergeCell ref="A4:E4"/>
    <mergeCell ref="A7:G7"/>
    <mergeCell ref="A8:B8"/>
    <mergeCell ref="A9:A11"/>
    <mergeCell ref="A16:G16"/>
    <mergeCell ref="A17:B18"/>
    <mergeCell ref="C17:D17"/>
    <mergeCell ref="F17:F18"/>
    <mergeCell ref="G17:G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3386-5642-428F-9F39-9F56F0EA1EC6}">
  <dimension ref="A1:L22"/>
  <sheetViews>
    <sheetView topLeftCell="A10" workbookViewId="0">
      <selection activeCell="D16" sqref="D16:L22"/>
    </sheetView>
  </sheetViews>
  <sheetFormatPr defaultRowHeight="14.4" x14ac:dyDescent="0.3"/>
  <cols>
    <col min="1" max="1" width="23.109375" customWidth="1"/>
    <col min="2" max="2" width="16.109375" customWidth="1"/>
    <col min="3" max="3" width="17" customWidth="1"/>
  </cols>
  <sheetData>
    <row r="1" spans="1:12" x14ac:dyDescent="0.3">
      <c r="A1" s="290" t="s">
        <v>222</v>
      </c>
      <c r="B1" s="290"/>
      <c r="C1" s="290"/>
      <c r="D1" s="121"/>
    </row>
    <row r="2" spans="1:12" ht="27" x14ac:dyDescent="0.3">
      <c r="A2" s="291" t="s">
        <v>27</v>
      </c>
      <c r="B2" s="291"/>
      <c r="C2" s="122" t="s">
        <v>381</v>
      </c>
      <c r="D2" s="121"/>
    </row>
    <row r="3" spans="1:12" x14ac:dyDescent="0.3">
      <c r="A3" s="292" t="s">
        <v>44</v>
      </c>
      <c r="B3" s="292"/>
      <c r="C3" s="124">
        <v>50</v>
      </c>
      <c r="D3" s="121"/>
    </row>
    <row r="4" spans="1:12" x14ac:dyDescent="0.3">
      <c r="A4" s="292" t="s">
        <v>382</v>
      </c>
      <c r="B4" s="123" t="s">
        <v>223</v>
      </c>
      <c r="C4" s="125">
        <v>2.2737367544323206E-15</v>
      </c>
      <c r="D4" s="121"/>
    </row>
    <row r="5" spans="1:12" x14ac:dyDescent="0.3">
      <c r="A5" s="292"/>
      <c r="B5" s="123" t="s">
        <v>224</v>
      </c>
      <c r="C5" s="126">
        <v>1.8870340496664122</v>
      </c>
      <c r="D5" s="121"/>
    </row>
    <row r="6" spans="1:12" x14ac:dyDescent="0.3">
      <c r="A6" s="292" t="s">
        <v>225</v>
      </c>
      <c r="B6" s="123" t="s">
        <v>226</v>
      </c>
      <c r="C6" s="127">
        <v>9.1829459117990897E-2</v>
      </c>
      <c r="D6" s="121"/>
    </row>
    <row r="7" spans="1:12" x14ac:dyDescent="0.3">
      <c r="A7" s="292"/>
      <c r="B7" s="123" t="s">
        <v>227</v>
      </c>
      <c r="C7" s="127">
        <v>6.4350743083343556E-2</v>
      </c>
      <c r="D7" s="121"/>
    </row>
    <row r="8" spans="1:12" x14ac:dyDescent="0.3">
      <c r="A8" s="292"/>
      <c r="B8" s="123" t="s">
        <v>228</v>
      </c>
      <c r="C8" s="127">
        <v>-9.1829459117990897E-2</v>
      </c>
      <c r="D8" s="121"/>
    </row>
    <row r="9" spans="1:12" x14ac:dyDescent="0.3">
      <c r="A9" s="292" t="s">
        <v>229</v>
      </c>
      <c r="B9" s="292"/>
      <c r="C9" s="127">
        <v>9.1829459117990897E-2</v>
      </c>
      <c r="D9" s="121"/>
    </row>
    <row r="10" spans="1:12" ht="15.6" customHeight="1" x14ac:dyDescent="0.3">
      <c r="A10" s="292" t="s">
        <v>230</v>
      </c>
      <c r="B10" s="292"/>
      <c r="C10" s="128" t="s">
        <v>383</v>
      </c>
      <c r="D10" s="121"/>
    </row>
    <row r="11" spans="1:12" x14ac:dyDescent="0.3">
      <c r="A11" s="293" t="s">
        <v>231</v>
      </c>
      <c r="B11" s="293"/>
      <c r="C11" s="293"/>
      <c r="D11" s="121"/>
    </row>
    <row r="12" spans="1:12" x14ac:dyDescent="0.3">
      <c r="A12" s="293" t="s">
        <v>232</v>
      </c>
      <c r="B12" s="293"/>
      <c r="C12" s="293"/>
      <c r="D12" s="121"/>
      <c r="F12" t="s">
        <v>267</v>
      </c>
    </row>
    <row r="13" spans="1:12" x14ac:dyDescent="0.3">
      <c r="A13" s="293" t="s">
        <v>233</v>
      </c>
      <c r="B13" s="293"/>
      <c r="C13" s="293"/>
      <c r="D13" s="121"/>
    </row>
    <row r="14" spans="1:12" x14ac:dyDescent="0.3">
      <c r="A14" s="293" t="s">
        <v>234</v>
      </c>
      <c r="B14" s="293"/>
      <c r="C14" s="293"/>
      <c r="D14" s="121"/>
    </row>
    <row r="16" spans="1:12" ht="16.2" customHeight="1" x14ac:dyDescent="0.3">
      <c r="D16" s="286" t="s">
        <v>421</v>
      </c>
      <c r="E16" s="286"/>
      <c r="F16" s="286"/>
      <c r="G16" s="286"/>
      <c r="H16" s="286"/>
      <c r="I16" s="286"/>
      <c r="J16" s="286"/>
      <c r="K16" s="286"/>
      <c r="L16" s="286"/>
    </row>
    <row r="17" spans="4:12" ht="36" x14ac:dyDescent="0.3">
      <c r="D17" s="287" t="s">
        <v>308</v>
      </c>
      <c r="E17" s="287"/>
      <c r="F17" s="288" t="s">
        <v>327</v>
      </c>
      <c r="G17" s="288"/>
      <c r="H17" s="164" t="s">
        <v>328</v>
      </c>
      <c r="I17" s="288" t="s">
        <v>329</v>
      </c>
      <c r="J17" s="288" t="s">
        <v>320</v>
      </c>
      <c r="K17" s="288" t="s">
        <v>409</v>
      </c>
      <c r="L17" s="288"/>
    </row>
    <row r="18" spans="4:12" x14ac:dyDescent="0.3">
      <c r="D18" s="287"/>
      <c r="E18" s="287"/>
      <c r="F18" s="164" t="s">
        <v>330</v>
      </c>
      <c r="G18" s="164" t="s">
        <v>331</v>
      </c>
      <c r="H18" s="164" t="s">
        <v>332</v>
      </c>
      <c r="I18" s="288"/>
      <c r="J18" s="288"/>
      <c r="K18" s="164" t="s">
        <v>410</v>
      </c>
      <c r="L18" s="164" t="s">
        <v>411</v>
      </c>
    </row>
    <row r="19" spans="4:12" ht="15.6" x14ac:dyDescent="0.3">
      <c r="D19" s="289">
        <v>1</v>
      </c>
      <c r="E19" s="165" t="s">
        <v>333</v>
      </c>
      <c r="F19" s="166">
        <v>8362</v>
      </c>
      <c r="G19" s="166">
        <v>2187</v>
      </c>
      <c r="H19" s="163"/>
      <c r="I19" s="166">
        <v>3824</v>
      </c>
      <c r="J19" s="167" t="s">
        <v>397</v>
      </c>
      <c r="K19" s="163"/>
      <c r="L19" s="163"/>
    </row>
    <row r="20" spans="4:12" ht="24" x14ac:dyDescent="0.3">
      <c r="D20" s="289"/>
      <c r="E20" s="165" t="s">
        <v>268</v>
      </c>
      <c r="F20" s="167" t="s">
        <v>412</v>
      </c>
      <c r="G20" s="167" t="s">
        <v>413</v>
      </c>
      <c r="H20" s="167" t="s">
        <v>414</v>
      </c>
      <c r="I20" s="166">
        <v>2898</v>
      </c>
      <c r="J20" s="167" t="s">
        <v>415</v>
      </c>
      <c r="K20" s="167" t="s">
        <v>416</v>
      </c>
      <c r="L20" s="166">
        <v>1703</v>
      </c>
    </row>
    <row r="21" spans="4:12" x14ac:dyDescent="0.3">
      <c r="D21" s="289"/>
      <c r="E21" s="165" t="s">
        <v>269</v>
      </c>
      <c r="F21" s="167" t="s">
        <v>417</v>
      </c>
      <c r="G21" s="167" t="s">
        <v>418</v>
      </c>
      <c r="H21" s="167" t="s">
        <v>419</v>
      </c>
      <c r="I21" s="166">
        <v>3219</v>
      </c>
      <c r="J21" s="167" t="s">
        <v>420</v>
      </c>
      <c r="K21" s="167" t="s">
        <v>416</v>
      </c>
      <c r="L21" s="166">
        <v>1703</v>
      </c>
    </row>
    <row r="22" spans="4:12" x14ac:dyDescent="0.3">
      <c r="D22" s="285" t="s">
        <v>323</v>
      </c>
      <c r="E22" s="285"/>
      <c r="F22" s="285"/>
      <c r="G22" s="285"/>
      <c r="H22" s="285"/>
      <c r="I22" s="285"/>
      <c r="J22" s="285"/>
      <c r="K22" s="285"/>
      <c r="L22" s="285"/>
    </row>
  </sheetData>
  <mergeCells count="19">
    <mergeCell ref="A14:C14"/>
    <mergeCell ref="A9:B9"/>
    <mergeCell ref="A10:B10"/>
    <mergeCell ref="A11:C11"/>
    <mergeCell ref="A12:C12"/>
    <mergeCell ref="A13:C13"/>
    <mergeCell ref="A1:C1"/>
    <mergeCell ref="A2:B2"/>
    <mergeCell ref="A3:B3"/>
    <mergeCell ref="A4:A5"/>
    <mergeCell ref="A6:A8"/>
    <mergeCell ref="D22:L22"/>
    <mergeCell ref="D16:L16"/>
    <mergeCell ref="D17:E18"/>
    <mergeCell ref="F17:G17"/>
    <mergeCell ref="I17:I18"/>
    <mergeCell ref="J17:J18"/>
    <mergeCell ref="K17:L17"/>
    <mergeCell ref="D19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Rekap Kuesionerr</vt:lpstr>
      <vt:lpstr>koefiesien Korelasi</vt:lpstr>
      <vt:lpstr>Anlisis Deskriptif</vt:lpstr>
      <vt:lpstr>Karakteristik Responden</vt:lpstr>
      <vt:lpstr>X1</vt:lpstr>
      <vt:lpstr>X2</vt:lpstr>
      <vt:lpstr>Y</vt:lpstr>
      <vt:lpstr>Uji Validitas</vt:lpstr>
      <vt:lpstr>Uji Reabilitas</vt:lpstr>
      <vt:lpstr>Koefisien Determinasi</vt:lpstr>
      <vt:lpstr>UJI Normalitas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inathason@gmail.com</cp:lastModifiedBy>
  <dcterms:created xsi:type="dcterms:W3CDTF">2026-05-15T07:52:07Z</dcterms:created>
  <dcterms:modified xsi:type="dcterms:W3CDTF">2026-05-23T02:20:13Z</dcterms:modified>
</cp:coreProperties>
</file>